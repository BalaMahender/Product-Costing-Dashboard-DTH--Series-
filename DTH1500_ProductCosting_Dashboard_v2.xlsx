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vahumar\Downloads\"/>
    </mc:Choice>
  </mc:AlternateContent>
  <xr:revisionPtr revIDLastSave="0" documentId="13_ncr:1_{22928A95-6E90-49B4-8896-587850C4BD6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Master_Data" sheetId="2" r:id="rId2"/>
    <sheet name="BOM_Costing" sheetId="3" r:id="rId3"/>
    <sheet name="Mfg_Costing  Sub-con" sheetId="4" r:id="rId4"/>
    <sheet name="Man &amp;Machine Costing" sheetId="5" r:id="rId5"/>
    <sheet name="Sheet2" sheetId="6" r:id="rId6"/>
    <sheet name="Missing BOM" sheetId="7" r:id="rId7"/>
    <sheet name="Cost_Summary" sheetId="8" r:id="rId8"/>
    <sheet name="Variance_Analysis" sheetId="9" r:id="rId9"/>
    <sheet name="Savings_Tracker" sheetId="10" r:id="rId10"/>
    <sheet name="T codes" sheetId="11" r:id="rId11"/>
    <sheet name="DTH1500_Management_View" sheetId="12" r:id="rId12"/>
    <sheet name="Costing_Workflow" sheetId="13" r:id="rId13"/>
    <sheet name="KPI_Dashboard" sheetId="14" r:id="rId14"/>
    <sheet name="FilterHelper" sheetId="15" state="hidden" r:id="rId15"/>
  </sheets>
  <externalReferences>
    <externalReference r:id="rId16"/>
  </externalReferences>
  <definedNames>
    <definedName name="_xlnm._FilterDatabase" localSheetId="0" hidden="1">Dashboard!$C$28:$K$28</definedName>
    <definedName name="_xlnm._FilterDatabase" localSheetId="10" hidden="1">'T codes'!$B$15:$D$49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2" l="1"/>
  <c r="H5" i="2"/>
  <c r="F5" i="2"/>
  <c r="E5" i="2"/>
  <c r="I4" i="2"/>
  <c r="H4" i="2"/>
  <c r="F4" i="2"/>
  <c r="I37" i="3"/>
  <c r="E4" i="2" s="1"/>
  <c r="J4" i="2" s="1"/>
  <c r="L4" i="2" s="1"/>
  <c r="I36" i="3"/>
  <c r="I35" i="3"/>
  <c r="I34" i="3"/>
  <c r="I33" i="3"/>
  <c r="I32" i="3"/>
  <c r="I31" i="3"/>
  <c r="I30" i="3"/>
  <c r="I29" i="3"/>
  <c r="B15" i="1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1" i="15"/>
  <c r="H5" i="12"/>
  <c r="I5" i="12" s="1"/>
  <c r="H4" i="12"/>
  <c r="I4" i="12" s="1"/>
  <c r="H3" i="12"/>
  <c r="I3" i="12" s="1"/>
  <c r="H2" i="12"/>
  <c r="I2" i="12" s="1"/>
  <c r="E2" i="10"/>
  <c r="F2" i="10" s="1"/>
  <c r="E2" i="9"/>
  <c r="F2" i="9" s="1"/>
  <c r="H3" i="8"/>
  <c r="D3" i="8"/>
  <c r="H2" i="8"/>
  <c r="D2" i="8"/>
  <c r="B18" i="6"/>
  <c r="E3" i="5"/>
  <c r="E2" i="5"/>
  <c r="E3" i="4"/>
  <c r="K2" i="4"/>
  <c r="E2" i="4"/>
  <c r="I27" i="3"/>
  <c r="I26" i="3"/>
  <c r="I25" i="3"/>
  <c r="I24" i="3"/>
  <c r="I23" i="3"/>
  <c r="I22" i="3"/>
  <c r="I21" i="3"/>
  <c r="I20" i="3"/>
  <c r="I19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K2" i="3"/>
  <c r="I2" i="3"/>
  <c r="D20" i="1"/>
  <c r="F15" i="1"/>
  <c r="F9" i="1"/>
  <c r="D9" i="1"/>
  <c r="B9" i="1"/>
  <c r="H5" i="1"/>
  <c r="D5" i="1"/>
  <c r="I3" i="2"/>
  <c r="F3" i="8" s="1"/>
  <c r="F3" i="2"/>
  <c r="C3" i="8" s="1"/>
  <c r="I2" i="2"/>
  <c r="F2" i="8" s="1"/>
  <c r="H2" i="2"/>
  <c r="E2" i="8" s="1"/>
  <c r="J5" i="2" l="1"/>
  <c r="L5" i="2" s="1"/>
  <c r="C29" i="1" a="1"/>
  <c r="C29" i="1" s="1"/>
  <c r="H3" i="2"/>
  <c r="E3" i="8" s="1"/>
  <c r="D22" i="1"/>
  <c r="F2" i="2"/>
  <c r="C2" i="8" s="1"/>
  <c r="D19" i="1"/>
  <c r="E2" i="2"/>
  <c r="H9" i="1" s="1"/>
  <c r="E3" i="2"/>
  <c r="I15" i="1"/>
  <c r="D21" i="1" l="1"/>
  <c r="J3" i="2"/>
  <c r="L3" i="2" s="1"/>
  <c r="J2" i="2"/>
  <c r="D18" i="1"/>
  <c r="B2" i="8"/>
  <c r="B3" i="8"/>
  <c r="H18" i="1" l="1"/>
  <c r="G3" i="8"/>
  <c r="H20" i="1"/>
  <c r="H22" i="1"/>
  <c r="H21" i="1"/>
  <c r="D23" i="1"/>
  <c r="L2" i="2"/>
  <c r="H19" i="1"/>
  <c r="J9" i="1"/>
  <c r="G2" i="8"/>
  <c r="H24" i="1"/>
  <c r="D2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<sst xmlns="http://schemas.openxmlformats.org/spreadsheetml/2006/main" count="693" uniqueCount="437">
  <si>
    <t>⚙  Product Costing Dashboard  |  DTH-1500 Series  |  Select Product Code to Filter All Data</t>
  </si>
  <si>
    <t>SELECT PRODUCT CODE ▼</t>
  </si>
  <si>
    <t>PRODUCT NAME (Auto)</t>
  </si>
  <si>
    <t>REVISION | UoM | STATUS</t>
  </si>
  <si>
    <t>DTH1500</t>
  </si>
  <si>
    <t>ITEM CODES
(Selected Product)</t>
  </si>
  <si>
    <t>SUB-ASSEMBLIES
(Main Assembly)</t>
  </si>
  <si>
    <t>RAW MATERIAL
LINES</t>
  </si>
  <si>
    <t>TOTAL MATERIAL
COST (₹)</t>
  </si>
  <si>
    <t>TOTAL COST
(₹)</t>
  </si>
  <si>
    <t>⬛ Live – updates on selection</t>
  </si>
  <si>
    <t>🔩  BOM ITEM LIST  —  Filtered by Selected Product Code  (All lines auto-filter on selection)</t>
  </si>
  <si>
    <t>#</t>
  </si>
  <si>
    <t>Item Code</t>
  </si>
  <si>
    <t>Item Description</t>
  </si>
  <si>
    <t>Category</t>
  </si>
  <si>
    <t>Qty</t>
  </si>
  <si>
    <t>UoM</t>
  </si>
  <si>
    <t>Unit Rate (₹)</t>
  </si>
  <si>
    <t>Vendor</t>
  </si>
  <si>
    <t>TOTAL BOM COST</t>
  </si>
  <si>
    <t>💰  COST BREAKDOWN  —  for Selected Product Code</t>
  </si>
  <si>
    <t>Cost Element</t>
  </si>
  <si>
    <t>Formula Reference</t>
  </si>
  <si>
    <t>Amount (₹)</t>
  </si>
  <si>
    <t>% of Total</t>
  </si>
  <si>
    <t>Material Cost</t>
  </si>
  <si>
    <t>● Live</t>
  </si>
  <si>
    <t>Mfg / Sub-Con Cost</t>
  </si>
  <si>
    <t>Labour Cost</t>
  </si>
  <si>
    <t>Overhead</t>
  </si>
  <si>
    <t>TOTAL COST</t>
  </si>
  <si>
    <t>Target Selling Price</t>
  </si>
  <si>
    <t>💡  Select a different Product Code in cell B5 to filter all BOM lines, item counts, and cost breakdown automatically.</t>
  </si>
  <si>
    <t>Product Code</t>
  </si>
  <si>
    <t>Product Name</t>
  </si>
  <si>
    <t>Revision</t>
  </si>
  <si>
    <t>Std Material Cost (Auto)</t>
  </si>
  <si>
    <t>Std Mfg Cost (Auto)
Sub Con Charges</t>
  </si>
  <si>
    <t>Out source Job Work</t>
  </si>
  <si>
    <t>Std Overhead (Auto)</t>
  </si>
  <si>
    <t>Std Total Cost (Auto)</t>
  </si>
  <si>
    <t>Target Margin %</t>
  </si>
  <si>
    <t>Target Selling Price (Auto)</t>
  </si>
  <si>
    <t>Last Updated</t>
  </si>
  <si>
    <t>DTH-1500 SQ BAR MAST ASSEMBLY</t>
  </si>
  <si>
    <t>R1</t>
  </si>
  <si>
    <t>Nos</t>
  </si>
  <si>
    <t>MA1010101019A0</t>
  </si>
  <si>
    <t>DTH-1500 STANDERD-1</t>
  </si>
  <si>
    <t>Unit Rate</t>
  </si>
  <si>
    <t xml:space="preserve">Raw Material </t>
  </si>
  <si>
    <t>Line Cost (Auto)</t>
  </si>
  <si>
    <t>Remarks</t>
  </si>
  <si>
    <t>2020101042</t>
  </si>
  <si>
    <t>Mast Structure KLR-1500 with Material</t>
  </si>
  <si>
    <t>Main Assembly</t>
  </si>
  <si>
    <t>Kg</t>
  </si>
  <si>
    <t>SA01100026A0</t>
  </si>
  <si>
    <t>YOKE SCREW ASSEMBLY_SINGLE GROOVE</t>
  </si>
  <si>
    <t>SA01100024A0</t>
  </si>
  <si>
    <t>SMALL PULLEY ASSEMBLY_SINGLE GROOVE</t>
  </si>
  <si>
    <t>SA40000525A0</t>
  </si>
  <si>
    <t>BOTTOM PULLEY ASSEMBLY_SINGLE GROOVE</t>
  </si>
  <si>
    <t>SA40000606A0</t>
  </si>
  <si>
    <t>TRAVELING BLOCK ASSEMBLY_SINGLE GROOVE</t>
  </si>
  <si>
    <t>SA01100028A0</t>
  </si>
  <si>
    <t>ROPE  RETAINER ASSEMBLY</t>
  </si>
  <si>
    <t>3025101010</t>
  </si>
  <si>
    <t>Wire Rope 20mm Steel Core</t>
  </si>
  <si>
    <t>Raw Material</t>
  </si>
  <si>
    <t>Mts</t>
  </si>
  <si>
    <t>3028201565</t>
  </si>
  <si>
    <t>Wire Rope Clamp 20 MM</t>
  </si>
  <si>
    <t>SA01100782A0</t>
  </si>
  <si>
    <t>140 FEED CYL BRACKET</t>
  </si>
  <si>
    <t>FC01100635A0</t>
  </si>
  <si>
    <t>FEED 140 EYE PIECE,EN8  Ø126x258L 40pin</t>
  </si>
  <si>
    <t>FC01100636A0</t>
  </si>
  <si>
    <t>FEED140 CYL CAP EYE PIN,EN-19  Ø63X128L</t>
  </si>
  <si>
    <t>FC40000081A0</t>
  </si>
  <si>
    <t>EYE PIECE PIN _EN8_OD48X80L</t>
  </si>
  <si>
    <t>3018101150</t>
  </si>
  <si>
    <t>Feed 140 x 100  x 2350(250Bar)P4954</t>
  </si>
  <si>
    <t>SA40000565A0</t>
  </si>
  <si>
    <t>MAST LOCKING ASSY (ON MAST)</t>
  </si>
  <si>
    <t>FC01103716A0</t>
  </si>
  <si>
    <t>140 FEED CYL PIN LOCKING WASHER</t>
  </si>
  <si>
    <t>SA03100266A0</t>
  </si>
  <si>
    <t>H-PLATE ASSEMBLY</t>
  </si>
  <si>
    <t>SA40001068A0</t>
  </si>
  <si>
    <t>SA40002822A0</t>
  </si>
  <si>
    <t>PLATFORM 6.6METER MAIN ASSEMBLY (DTH-1500)</t>
  </si>
  <si>
    <t>SA40002823A0</t>
  </si>
  <si>
    <t>PTO &amp; RH GEAR BOX MAIN ASSEMBLY (DTH-1500)</t>
  </si>
  <si>
    <t>SA40002824A0</t>
  </si>
  <si>
    <t>HYDRAULICS (DTH-1500)</t>
  </si>
  <si>
    <t>SA40002825A0</t>
  </si>
  <si>
    <t>ACCESSORIES (DTH-1500)</t>
  </si>
  <si>
    <t>SA40002826A0</t>
  </si>
  <si>
    <t>DTH-1500 [ BOC LIST ]</t>
  </si>
  <si>
    <t>SA40002827A0</t>
  </si>
  <si>
    <t>PAINTING LIST (DTH-1500)</t>
  </si>
  <si>
    <t>SA40000520A0</t>
  </si>
  <si>
    <t>ROD CHANGER ASSEMBLY</t>
  </si>
  <si>
    <t>SA09100003A0</t>
  </si>
  <si>
    <t>ONE TON WINCH GEAR BOX MTG ASSLY</t>
  </si>
  <si>
    <t>Process</t>
  </si>
  <si>
    <t>Man&amp; Machine/Hrs</t>
  </si>
  <si>
    <t>Rate per Hr</t>
  </si>
  <si>
    <t>Sub Con -Process Cost (Auto)</t>
  </si>
  <si>
    <t>Overhead Cost</t>
  </si>
  <si>
    <t>Cutting</t>
  </si>
  <si>
    <t>Assembly</t>
  </si>
  <si>
    <t>CABIN WORK ( WITH MATERIAL)</t>
  </si>
  <si>
    <t>Angel Frame Work,In &amp; Out GI Sheet Covering,Gas Welding Work,Cabin Painting Work,Main &amp; Side Cabin Glass Fitting,Inside Tool Box Cushion Work &amp; Inside Bed,Cabin Electrical Wiring Work,Including All Miscellaneous Materials, Fasteners &amp; Consumables.</t>
  </si>
  <si>
    <t>Mast Comp. Work R 1500 Mast</t>
  </si>
  <si>
    <t>Bottom Guide Mounting</t>
  </si>
  <si>
    <t>Extra Base Guide Ribs</t>
  </si>
  <si>
    <t>Yoke Box Guard Top</t>
  </si>
  <si>
    <t>Mast Resting Stand</t>
  </si>
  <si>
    <t>BOW Cylinder Mounting</t>
  </si>
  <si>
    <t xml:space="preserve">Travelling Roller </t>
  </si>
  <si>
    <t>Feed Cylinder Bracket</t>
  </si>
  <si>
    <t>KLR Name Plate</t>
  </si>
  <si>
    <t>MRC Mounting</t>
  </si>
  <si>
    <t xml:space="preserve">H- Plate Roller </t>
  </si>
  <si>
    <t>Rod Changer Mounting</t>
  </si>
  <si>
    <t>Winch Gear Box</t>
  </si>
  <si>
    <t>Ladder Fitting</t>
  </si>
  <si>
    <t>Water Shield</t>
  </si>
  <si>
    <t>COM PLATFORM WORK ON REGULAR RIG (WITH COMPRESSIOR) WITH ALL EXTRA WORKS</t>
  </si>
  <si>
    <t>HYDRAULICS</t>
  </si>
  <si>
    <t>LEFT HAND STEARING CONVERSION</t>
  </si>
  <si>
    <t>Stearing open,Drilling &amp; Fitting,Air Filter position changed,Clutch , Break , Excelator position changed,Hand Break position changed,Gear position changed ,Air pipe line position changed,Power Stearing position Changed</t>
  </si>
  <si>
    <t>Hyderalic Leaver Fitting</t>
  </si>
  <si>
    <t>R.N.T + Brazing,Air Tank Fitting</t>
  </si>
  <si>
    <t>Rig Comp. &amp; Chassis Painting Export Rig</t>
  </si>
  <si>
    <t>Water Washing Main Rig</t>
  </si>
  <si>
    <t>Hose Packing</t>
  </si>
  <si>
    <t>White Painting Single Coat Export Rig</t>
  </si>
  <si>
    <t xml:space="preserve">Painting Rework </t>
  </si>
  <si>
    <t>RH GEAR  BOX FABRICATION</t>
  </si>
  <si>
    <t>Man &amp; Machine Hrs</t>
  </si>
  <si>
    <t>Rate/Hr (₹)</t>
  </si>
  <si>
    <t>Process Cost (₹)</t>
  </si>
  <si>
    <t>Labour Cost (₹)</t>
  </si>
  <si>
    <t>Overhead Cost (₹)</t>
  </si>
  <si>
    <t>Chassis Fabrication</t>
  </si>
  <si>
    <t>Mast Fabrication</t>
  </si>
  <si>
    <t>Rotary Head Assembly</t>
  </si>
  <si>
    <t>Hydraulic Assembly</t>
  </si>
  <si>
    <t>Engine Mounting</t>
  </si>
  <si>
    <t>Compressor Mounting</t>
  </si>
  <si>
    <t>PTO &amp; Gear Box Assembly</t>
  </si>
  <si>
    <t>Winch &amp; Feed Assembly</t>
  </si>
  <si>
    <t>Rod Changer Assembly</t>
  </si>
  <si>
    <t>Cabin Fabrication</t>
  </si>
  <si>
    <t>Included</t>
  </si>
  <si>
    <t>Electrical Wiring</t>
  </si>
  <si>
    <t>Pneumatic Line Fitting</t>
  </si>
  <si>
    <t>Hydraulic Hose Routing</t>
  </si>
  <si>
    <t>Painting &amp; Surface Prep</t>
  </si>
  <si>
    <t>Testing &amp; Commissioning</t>
  </si>
  <si>
    <t>Final Inspection &amp; QC</t>
  </si>
  <si>
    <t>MAST METAL PIPES DTH-1500</t>
  </si>
  <si>
    <t xml:space="preserve"> DTH-1500 PAINTING LIST</t>
  </si>
  <si>
    <t>PILLER SIDES METAL PIPES</t>
  </si>
  <si>
    <t>SL NO</t>
  </si>
  <si>
    <t>MATERIAL DESCRIPTION</t>
  </si>
  <si>
    <t>QTY</t>
  </si>
  <si>
    <t>S NO</t>
  </si>
  <si>
    <t>MATERIAL DESCRIPTIONS</t>
  </si>
  <si>
    <t>30 0D Pipe 2200mm (Rotational Pipe)</t>
  </si>
  <si>
    <t>Orange</t>
  </si>
  <si>
    <t>30ltr</t>
  </si>
  <si>
    <t>30 OD seamless pipe X 950L</t>
  </si>
  <si>
    <t>30 0D Pipe Bend 450mm (180 Degree)</t>
  </si>
  <si>
    <t>Milk White</t>
  </si>
  <si>
    <t>6ltr</t>
  </si>
  <si>
    <t xml:space="preserve">22 OD ERW Pipe X 960L </t>
  </si>
  <si>
    <t>16 0D Pipe 2200mm (Leak Line)</t>
  </si>
  <si>
    <t>Red Oxide</t>
  </si>
  <si>
    <t>12ltr</t>
  </si>
  <si>
    <t>16 OD seamless Pipe x 970L</t>
  </si>
  <si>
    <t>16 0D Pipe Bend 2200mm</t>
  </si>
  <si>
    <t>Ne Thinner</t>
  </si>
  <si>
    <t>25ltr</t>
  </si>
  <si>
    <t>30 0D Feed Pipe 4900mm</t>
  </si>
  <si>
    <t>Carpant Oil</t>
  </si>
  <si>
    <t>5ltr</t>
  </si>
  <si>
    <t>CLAMPS</t>
  </si>
  <si>
    <t>30 0D Feed Pipe 2500mm</t>
  </si>
  <si>
    <t>Bharath Paste</t>
  </si>
  <si>
    <t>5Kg</t>
  </si>
  <si>
    <t>50x50xAnglex400L</t>
  </si>
  <si>
    <t>60 0D Feed Pipe 2220mm (ARW Pipe)</t>
  </si>
  <si>
    <t>Lappam</t>
  </si>
  <si>
    <t>2Kg</t>
  </si>
  <si>
    <t>25X25 Sqbar 400L</t>
  </si>
  <si>
    <t>60 0D Feed Pipe Bend 300mm</t>
  </si>
  <si>
    <t>Black Enamil Paint</t>
  </si>
  <si>
    <t>60 0D Feed Pipe Outside 300mm</t>
  </si>
  <si>
    <t>Pu Putty</t>
  </si>
  <si>
    <t>PILLER AIR LINE PIPE</t>
  </si>
  <si>
    <t>22mm OD 3000mm (ARW)</t>
  </si>
  <si>
    <t>Water Embri Paper 220 Grt</t>
  </si>
  <si>
    <t>60 OD ERW Pipe x 350L</t>
  </si>
  <si>
    <t>Meter paper 80 Grt</t>
  </si>
  <si>
    <t>4m</t>
  </si>
  <si>
    <t>60 OD ERW Pipe x 280L</t>
  </si>
  <si>
    <t>Hose Packing(Film)</t>
  </si>
  <si>
    <t xml:space="preserve"> 60 OD ERW Pipe x 320L</t>
  </si>
  <si>
    <t>Air line Nippal size seamless pipe x 60OD x 120</t>
  </si>
  <si>
    <t>MAST METAL CLAMP-1500</t>
  </si>
  <si>
    <t>6OD half Bend ERW outside</t>
  </si>
  <si>
    <t>Flange 150 x 60 OD hole</t>
  </si>
  <si>
    <t>12mm Plate 160*100</t>
  </si>
  <si>
    <t>1" Coupling</t>
  </si>
  <si>
    <t>12mm Plate 130*100</t>
  </si>
  <si>
    <t>1.5 " Coupling</t>
  </si>
  <si>
    <t>75*40 Channel 550L</t>
  </si>
  <si>
    <t>0.5" Ball value</t>
  </si>
  <si>
    <t>75*40 Channel 180L</t>
  </si>
  <si>
    <t>1" Ball value</t>
  </si>
  <si>
    <t>20*110*110 Plate</t>
  </si>
  <si>
    <t>1.5" Ball value</t>
  </si>
  <si>
    <t>25*350*25 Square</t>
  </si>
  <si>
    <t>2" Ball value spcl</t>
  </si>
  <si>
    <t>25*25*100 Square</t>
  </si>
  <si>
    <t>0.5" Coupling</t>
  </si>
  <si>
    <t>UNDER THE PLATEFORM</t>
  </si>
  <si>
    <t>16 OD Seamless pipe x 5600mm</t>
  </si>
  <si>
    <t>16mm Thick x 380L</t>
  </si>
  <si>
    <t>35 x 35 x 130L</t>
  </si>
  <si>
    <t>SERIES PIPE</t>
  </si>
  <si>
    <t>Seam less x OD16 x 100m</t>
  </si>
  <si>
    <t>16 x 16 x 380 L</t>
  </si>
  <si>
    <t xml:space="preserve">BOW </t>
  </si>
  <si>
    <t>16 OD x 900L</t>
  </si>
  <si>
    <t>16 OD x 800L</t>
  </si>
  <si>
    <t>16 x16 x100</t>
  </si>
  <si>
    <t>HYDRAULIC TANK</t>
  </si>
  <si>
    <t>FRONT SIDE</t>
  </si>
  <si>
    <t>16 OD Seam less pipe x 1400</t>
  </si>
  <si>
    <t>16 OD Seam less pipe x 1500</t>
  </si>
  <si>
    <t>CLAMP</t>
  </si>
  <si>
    <t>16 x 16 x 100mm</t>
  </si>
  <si>
    <t>HYDRAULIC COOLER RETURN PIPE</t>
  </si>
  <si>
    <t>750D x 6000mml (ERW)</t>
  </si>
  <si>
    <t>60OD x 200mm (ERW)</t>
  </si>
  <si>
    <t>75 OD x Half Bend</t>
  </si>
  <si>
    <t>Return weldable Box 450L x 75OD pipe (ERW)</t>
  </si>
  <si>
    <t>L &amp; T PUMP METAL LINE (ERW PIPE)</t>
  </si>
  <si>
    <t>75 OD x 600</t>
  </si>
  <si>
    <t>75 OD x 270L</t>
  </si>
  <si>
    <t>75 OD x 80L</t>
  </si>
  <si>
    <t>75 OD x 90L</t>
  </si>
  <si>
    <t>75 OD x 500L</t>
  </si>
  <si>
    <t>75 OD x 130L</t>
  </si>
  <si>
    <t>Hose Nipple 75OD x 120L</t>
  </si>
  <si>
    <t>Material Cost (Auto)</t>
  </si>
  <si>
    <t>Mfg Cost (Auto)</t>
  </si>
  <si>
    <t>Labour Cost (Auto)</t>
  </si>
  <si>
    <t>Overhead (Auto)</t>
  </si>
  <si>
    <t>Total Cost (Auto)</t>
  </si>
  <si>
    <t>Selling Price (Auto)</t>
  </si>
  <si>
    <t>Month</t>
  </si>
  <si>
    <t>Standard Cost</t>
  </si>
  <si>
    <t>Actual Cost</t>
  </si>
  <si>
    <t>Variance (Auto)</t>
  </si>
  <si>
    <t>Variance % (Auto)</t>
  </si>
  <si>
    <t>Reason</t>
  </si>
  <si>
    <t>Action Plan</t>
  </si>
  <si>
    <t>Owner</t>
  </si>
  <si>
    <t>Status</t>
  </si>
  <si>
    <t>Apr-2026</t>
  </si>
  <si>
    <t>Apr-2027</t>
  </si>
  <si>
    <t>Project/Initiative</t>
  </si>
  <si>
    <t>Old Cost</t>
  </si>
  <si>
    <t>New Cost</t>
  </si>
  <si>
    <t>Savings (Auto)</t>
  </si>
  <si>
    <t>Savings % (Auto)</t>
  </si>
  <si>
    <t>Start Date</t>
  </si>
  <si>
    <t>End Date</t>
  </si>
  <si>
    <t>Vendor Renegotiation</t>
  </si>
  <si>
    <t>Material Master → BOM → Routing → Work Center</t>
  </si>
  <si>
    <t>Product Costing (CO-PC)</t>
  </si>
  <si>
    <t xml:space="preserve">        ↓</t>
  </si>
  <si>
    <t>CK11N, CK13N, CK24</t>
  </si>
  <si>
    <t xml:space="preserve">     Standard Cost (CK11N / CK13N)</t>
  </si>
  <si>
    <t>BOM (Bill of Material)</t>
  </si>
  <si>
    <t>CS01, CS02, CS03</t>
  </si>
  <si>
    <t xml:space="preserve">     Production Order (CO01)</t>
  </si>
  <si>
    <t>CS11, CS12, CS13, CS14, CS15</t>
  </si>
  <si>
    <t>Routing / Production</t>
  </si>
  <si>
    <t xml:space="preserve">     Actual Cost Capture (Goods Issue, Confirmation)</t>
  </si>
  <si>
    <t>CA01, CA02, CA03</t>
  </si>
  <si>
    <t>COOIS, CO11N</t>
  </si>
  <si>
    <t xml:space="preserve">     Variance Analysis (KKS2)</t>
  </si>
  <si>
    <t>Master Data / Procurement / Stock</t>
  </si>
  <si>
    <t>MM03, ME51N, ME2M, MMBE, MB51</t>
  </si>
  <si>
    <t xml:space="preserve">     Settlement (KO88)</t>
  </si>
  <si>
    <t>KS01, KS02, KS03 (Cost Centers)</t>
  </si>
  <si>
    <t xml:space="preserve">     Profitability / Reports</t>
  </si>
  <si>
    <t>Area</t>
  </si>
  <si>
    <t>T-Code</t>
  </si>
  <si>
    <t>Purpose</t>
  </si>
  <si>
    <t>Material Master</t>
  </si>
  <si>
    <t>MM03</t>
  </si>
  <si>
    <t>Price, valuation</t>
  </si>
  <si>
    <t>BOM</t>
  </si>
  <si>
    <t>CS03</t>
  </si>
  <si>
    <t>Components &amp; qty</t>
  </si>
  <si>
    <t>Routing</t>
  </si>
  <si>
    <t>CA03</t>
  </si>
  <si>
    <t>Process steps</t>
  </si>
  <si>
    <t>Work Center</t>
  </si>
  <si>
    <t>CR03</t>
  </si>
  <si>
    <t>Cost per hour</t>
  </si>
  <si>
    <t>Cost Center</t>
  </si>
  <si>
    <t>KS03</t>
  </si>
  <si>
    <t>Cost allocation</t>
  </si>
  <si>
    <t>Activity Type</t>
  </si>
  <si>
    <t>KL03</t>
  </si>
  <si>
    <t>Labour/machine cost</t>
  </si>
  <si>
    <t>B. Costing (Core Area)</t>
  </si>
  <si>
    <t>CK11N</t>
  </si>
  <si>
    <t>Create cost estimate</t>
  </si>
  <si>
    <t>CK13N</t>
  </si>
  <si>
    <t>Display cost</t>
  </si>
  <si>
    <t>CK40N</t>
  </si>
  <si>
    <t>Mass costing</t>
  </si>
  <si>
    <t>CK24</t>
  </si>
  <si>
    <t>Release standard cost</t>
  </si>
  <si>
    <t>C. Cost Component &amp; Structure (Deep Understanding)</t>
  </si>
  <si>
    <t>CK13N → Cost Component View</t>
  </si>
  <si>
    <t>Material / labour / overhead split</t>
  </si>
  <si>
    <t>OKTZ</t>
  </si>
  <si>
    <t>Cost component structure</t>
  </si>
  <si>
    <t>OKKN</t>
  </si>
  <si>
    <t>Costing variant</t>
  </si>
  <si>
    <t>D. Production Order (Actual Cost Flow)</t>
  </si>
  <si>
    <t>CO01</t>
  </si>
  <si>
    <t>Create production order</t>
  </si>
  <si>
    <t>CO02</t>
  </si>
  <si>
    <t>Change order</t>
  </si>
  <si>
    <t>CO03</t>
  </si>
  <si>
    <t>Display order</t>
  </si>
  <si>
    <t>E. Actual Cost Capture</t>
  </si>
  <si>
    <t>MB1A / MIGO</t>
  </si>
  <si>
    <t>Material issue</t>
  </si>
  <si>
    <t>MB1B</t>
  </si>
  <si>
    <t>Transfer posting</t>
  </si>
  <si>
    <t>CO11N</t>
  </si>
  <si>
    <t>Production confirmation</t>
  </si>
  <si>
    <t>KB31N</t>
  </si>
  <si>
    <t>Activity posting</t>
  </si>
  <si>
    <t>F. Variance &amp; Analysis (VERY IMPORTANT FOR YOU)</t>
  </si>
  <si>
    <t>KKS2</t>
  </si>
  <si>
    <t>Variance calculation</t>
  </si>
  <si>
    <t>KKS1</t>
  </si>
  <si>
    <t>Variance (single order)</t>
  </si>
  <si>
    <t>KKBC_HOE</t>
  </si>
  <si>
    <t>Cost analysis report</t>
  </si>
  <si>
    <t>COOIS</t>
  </si>
  <si>
    <t>Order info system</t>
  </si>
  <si>
    <t>G. Settlement</t>
  </si>
  <si>
    <t>KO88</t>
  </si>
  <si>
    <t>Settle production order</t>
  </si>
  <si>
    <t>H. Reporting &amp; Profitability</t>
  </si>
  <si>
    <t>S_ALR_87013127</t>
  </si>
  <si>
    <t>Cost center report</t>
  </si>
  <si>
    <t>KE30</t>
  </si>
  <si>
    <t>Profitability report</t>
  </si>
  <si>
    <t>MC$ reports</t>
  </si>
  <si>
    <t>Cost analysis</t>
  </si>
  <si>
    <t>FG Code</t>
  </si>
  <si>
    <t>Product</t>
  </si>
  <si>
    <t>Estimated Cost</t>
  </si>
  <si>
    <t>Selling Price</t>
  </si>
  <si>
    <t>Margin</t>
  </si>
  <si>
    <t>Margin %</t>
  </si>
  <si>
    <t>MA1010101007A0</t>
  </si>
  <si>
    <t>DTH 1500</t>
  </si>
  <si>
    <t>Mast Assembly</t>
  </si>
  <si>
    <t>Fabrication</t>
  </si>
  <si>
    <t>Internal</t>
  </si>
  <si>
    <t>Critical Assembly</t>
  </si>
  <si>
    <t>Hydraulic</t>
  </si>
  <si>
    <t>BOC</t>
  </si>
  <si>
    <t>Danfoss</t>
  </si>
  <si>
    <t>Hydraulic Package</t>
  </si>
  <si>
    <t>Platform</t>
  </si>
  <si>
    <t>Subcontract</t>
  </si>
  <si>
    <t>Platform Vendor</t>
  </si>
  <si>
    <t>Fabrication Cost</t>
  </si>
  <si>
    <t>Painting</t>
  </si>
  <si>
    <t>Painter Vendor</t>
  </si>
  <si>
    <t>Final Finish</t>
  </si>
  <si>
    <t>DTH1500 Product Costing Workflow</t>
  </si>
  <si>
    <t>1. Extract BOM from SAP CS12</t>
  </si>
  <si>
    <t>2. Validate Parent-Child structure</t>
  </si>
  <si>
    <t>3. Verify Routing in CA03</t>
  </si>
  <si>
    <t>4. Validate RM &amp; BOC prices with Procurement</t>
  </si>
  <si>
    <t>5. Add subcontracting bills</t>
  </si>
  <si>
    <t>6. Run CK11N costing</t>
  </si>
  <si>
    <t>7. Analyze CK13N cost structure</t>
  </si>
  <si>
    <t>8. Validate inventory physically</t>
  </si>
  <si>
    <t>9. Release standard price in CK24</t>
  </si>
  <si>
    <t>10. Review margins before quotation release</t>
  </si>
  <si>
    <t>KPI</t>
  </si>
  <si>
    <t>Target</t>
  </si>
  <si>
    <t>Actual</t>
  </si>
  <si>
    <t>20%</t>
  </si>
  <si>
    <t>18%</t>
  </si>
  <si>
    <t>Monitor</t>
  </si>
  <si>
    <t>Inventory Accuracy</t>
  </si>
  <si>
    <t>98%</t>
  </si>
  <si>
    <t>95%</t>
  </si>
  <si>
    <t>Improve</t>
  </si>
  <si>
    <t>Open PO Aging</t>
  </si>
  <si>
    <t>&lt;30 Days</t>
  </si>
  <si>
    <t>45 Days</t>
  </si>
  <si>
    <t>Action Required</t>
  </si>
  <si>
    <t>Cost Variance</t>
  </si>
  <si>
    <t>&lt;5%</t>
  </si>
  <si>
    <t>8%</t>
  </si>
  <si>
    <t>Review</t>
  </si>
  <si>
    <t>SAP Update Compliance</t>
  </si>
  <si>
    <t>100%</t>
  </si>
  <si>
    <t>90%</t>
  </si>
  <si>
    <t>Std Labour Cost (Auto)Admin cost</t>
  </si>
  <si>
    <t>Labour Cost(Admin cost)</t>
  </si>
  <si>
    <t>MA1010101018A0</t>
  </si>
  <si>
    <t>Line Cost</t>
  </si>
  <si>
    <t>Outsource Job Work (Ancillary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</si>
</sst>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\₹#,##0.00"/>
    <numFmt numFmtId="166" formatCode="0.0%"/>
    <numFmt numFmtId="167" formatCode="_ [$₹-4009]\ * #,##0.00_ ;_ [$₹-4009]\ * \-#,##0.00_ ;_ [$₹-4009]\ * \-??_ ;_ @_ "/>
    <numFmt numFmtId="168" formatCode="_ &quot;₹ &quot;* #,##0.00_ ;_ &quot;₹ &quot;* \-#,##0.00_ ;_ &quot;₹ &quot;* \-??_ ;_ @_ "/>
  </numFmts>
  <fonts count="41" x14ac:knownFonts="1">
    <font>
      <sz val="11"/>
      <color theme="1"/>
      <name val="Calibri"/>
      <family val="2"/>
      <charset val="1"/>
    </font>
    <font>
      <b/>
      <sz val="13"/>
      <color rgb="FFFFFFFF"/>
      <name val="Calibri"/>
      <family val="2"/>
    </font>
    <font>
      <sz val="11"/>
      <color rgb="FFFFFFFF"/>
      <name val="Calibri"/>
      <family val="2"/>
    </font>
    <font>
      <sz val="9"/>
      <color rgb="FF8B949E"/>
      <name val="Calibri"/>
      <family val="2"/>
    </font>
    <font>
      <b/>
      <sz val="16"/>
      <color rgb="FF58A6FF"/>
      <name val="Calibri"/>
      <family val="2"/>
    </font>
    <font>
      <b/>
      <sz val="12"/>
      <color rgb="FFFFFFFF"/>
      <name val="Calibri"/>
      <family val="2"/>
    </font>
    <font>
      <b/>
      <sz val="20"/>
      <color rgb="FF58A6FF"/>
      <name val="Calibri"/>
      <family val="2"/>
    </font>
    <font>
      <b/>
      <sz val="20"/>
      <color rgb="FF3FB950"/>
      <name val="Calibri"/>
      <family val="2"/>
    </font>
    <font>
      <b/>
      <sz val="20"/>
      <color rgb="FFD29922"/>
      <name val="Calibri"/>
      <family val="2"/>
    </font>
    <font>
      <b/>
      <sz val="20"/>
      <color rgb="FFFF7B72"/>
      <name val="Calibri"/>
      <family val="2"/>
    </font>
    <font>
      <b/>
      <sz val="11"/>
      <color rgb="FF58A6FF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8"/>
      <color rgb="FF3FB950"/>
      <name val="Calibri"/>
      <family val="2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4"/>
      <color theme="1"/>
      <name val="Calibri"/>
      <family val="2"/>
      <charset val="1"/>
    </font>
    <font>
      <b/>
      <sz val="13.5"/>
      <color theme="1"/>
      <name val="Calibri"/>
      <family val="2"/>
      <charset val="1"/>
    </font>
    <font>
      <sz val="10"/>
      <color theme="1"/>
      <name val="Arial Unicode MS"/>
      <family val="2"/>
      <charset val="1"/>
    </font>
    <font>
      <b/>
      <sz val="11"/>
      <color rgb="FFFFFFFF"/>
      <name val="Calibri"/>
      <family val="2"/>
      <charset val="1"/>
    </font>
    <font>
      <b/>
      <sz val="14"/>
      <name val="Calibri"/>
      <family val="2"/>
      <charset val="1"/>
    </font>
    <font>
      <sz val="14"/>
      <color theme="1"/>
      <name val="Calibri"/>
      <family val="2"/>
    </font>
    <font>
      <b/>
      <sz val="14"/>
      <color rgb="FF58A6FF"/>
      <name val="Calibri"/>
      <family val="2"/>
    </font>
    <font>
      <b/>
      <sz val="14"/>
      <color theme="1"/>
      <name val="Calibri"/>
      <family val="2"/>
    </font>
    <font>
      <b/>
      <sz val="14"/>
      <color theme="3"/>
      <name val="Calibri"/>
      <family val="2"/>
    </font>
    <font>
      <sz val="9"/>
      <color rgb="FFFFFF00"/>
      <name val="Calibri"/>
      <family val="2"/>
    </font>
    <font>
      <sz val="8"/>
      <color rgb="FFFFFF00"/>
      <name val="Calibri"/>
      <family val="2"/>
    </font>
    <font>
      <sz val="14"/>
      <color rgb="FFFFFF00"/>
      <name val="Calibri"/>
      <family val="2"/>
    </font>
    <font>
      <b/>
      <sz val="14"/>
      <color rgb="FFFFFF00"/>
      <name val="Calibri"/>
      <family val="2"/>
    </font>
    <font>
      <b/>
      <sz val="14"/>
      <color theme="2" tint="-9.9978637043366805E-2"/>
      <name val="Calibri"/>
      <family val="2"/>
    </font>
    <font>
      <sz val="11"/>
      <color theme="2" tint="-9.9978637043366805E-2"/>
      <name val="Calibri"/>
      <family val="2"/>
    </font>
    <font>
      <b/>
      <sz val="14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rgb="FF3FB950"/>
      <name val="Calibri"/>
      <family val="2"/>
    </font>
    <font>
      <sz val="8"/>
      <name val="Calibri"/>
      <family val="2"/>
      <charset val="1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D1117"/>
        <bgColor rgb="FF12171E"/>
      </patternFill>
    </fill>
    <fill>
      <patternFill patternType="solid">
        <fgColor rgb="FF1F6FEB"/>
        <bgColor rgb="FF0066CC"/>
      </patternFill>
    </fill>
    <fill>
      <patternFill patternType="solid">
        <fgColor rgb="FF1C2128"/>
        <bgColor rgb="FF21262D"/>
      </patternFill>
    </fill>
    <fill>
      <patternFill patternType="solid">
        <fgColor rgb="FF161B22"/>
        <bgColor rgb="FF12171E"/>
      </patternFill>
    </fill>
    <fill>
      <patternFill patternType="solid">
        <fgColor rgb="FF12171E"/>
        <bgColor rgb="FF161B22"/>
      </patternFill>
    </fill>
    <fill>
      <patternFill patternType="solid">
        <fgColor rgb="FF0D9488"/>
        <bgColor rgb="FF008080"/>
      </patternFill>
    </fill>
    <fill>
      <patternFill patternType="solid">
        <fgColor rgb="FF6E40C9"/>
        <bgColor rgb="FF993366"/>
      </patternFill>
    </fill>
    <fill>
      <patternFill patternType="solid">
        <fgColor rgb="FF2D4A22"/>
        <bgColor rgb="FF30363D"/>
      </patternFill>
    </fill>
    <fill>
      <patternFill patternType="solid">
        <fgColor rgb="FF238636"/>
        <bgColor rgb="FF008080"/>
      </patternFill>
    </fill>
    <fill>
      <patternFill patternType="solid">
        <fgColor rgb="FFD29922"/>
        <bgColor rgb="FFFF7B72"/>
      </patternFill>
    </fill>
    <fill>
      <patternFill patternType="solid">
        <fgColor rgb="FFDA3633"/>
        <bgColor rgb="FF993300"/>
      </patternFill>
    </fill>
    <fill>
      <patternFill patternType="solid">
        <fgColor rgb="FF21262D"/>
        <bgColor rgb="FF1C2128"/>
      </patternFill>
    </fill>
    <fill>
      <patternFill patternType="solid">
        <fgColor rgb="FF1F4E78"/>
        <bgColor rgb="FF0F3460"/>
      </patternFill>
    </fill>
    <fill>
      <patternFill patternType="solid">
        <fgColor rgb="FFFFFF00"/>
        <bgColor rgb="FF30363D"/>
      </patternFill>
    </fill>
    <fill>
      <patternFill patternType="solid">
        <fgColor theme="5"/>
        <bgColor rgb="FF21262D"/>
      </patternFill>
    </fill>
    <fill>
      <patternFill patternType="solid">
        <fgColor theme="7"/>
        <bgColor rgb="FF21262D"/>
      </patternFill>
    </fill>
    <fill>
      <patternFill patternType="solid">
        <fgColor theme="0"/>
        <bgColor rgb="FF12171E"/>
      </patternFill>
    </fill>
  </fills>
  <borders count="15">
    <border>
      <left/>
      <right/>
      <top/>
      <bottom/>
      <diagonal/>
    </border>
    <border>
      <left style="thin">
        <color rgb="FF30363D"/>
      </left>
      <right/>
      <top style="thin">
        <color rgb="FF30363D"/>
      </top>
      <bottom style="thin">
        <color rgb="FF30363D"/>
      </bottom>
      <diagonal/>
    </border>
    <border>
      <left style="thin">
        <color rgb="FF30363D"/>
      </left>
      <right/>
      <top style="thin">
        <color rgb="FF30363D"/>
      </top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036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30363D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0363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128">
    <xf numFmtId="0" fontId="0" fillId="0" borderId="0" xfId="0"/>
    <xf numFmtId="164" fontId="6" fillId="5" borderId="2" xfId="0" applyNumberFormat="1" applyFont="1" applyFill="1" applyBorder="1" applyAlignment="1">
      <alignment horizontal="center" vertical="center" wrapText="1"/>
    </xf>
    <xf numFmtId="164" fontId="9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11" fillId="4" borderId="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16" fillId="0" borderId="4" xfId="0" applyFont="1" applyBorder="1"/>
    <xf numFmtId="167" fontId="16" fillId="0" borderId="4" xfId="0" applyNumberFormat="1" applyFont="1" applyBorder="1"/>
    <xf numFmtId="168" fontId="16" fillId="0" borderId="4" xfId="0" applyNumberFormat="1" applyFont="1" applyBorder="1"/>
    <xf numFmtId="0" fontId="16" fillId="0" borderId="0" xfId="0" applyFont="1"/>
    <xf numFmtId="0" fontId="17" fillId="0" borderId="4" xfId="0" applyFont="1" applyBorder="1"/>
    <xf numFmtId="168" fontId="0" fillId="0" borderId="0" xfId="0" applyNumberFormat="1"/>
    <xf numFmtId="167" fontId="0" fillId="0" borderId="0" xfId="0" applyNumberFormat="1"/>
    <xf numFmtId="0" fontId="15" fillId="0" borderId="4" xfId="0" applyFont="1" applyBorder="1"/>
    <xf numFmtId="167" fontId="15" fillId="0" borderId="4" xfId="0" applyNumberFormat="1" applyFont="1" applyBorder="1"/>
    <xf numFmtId="0" fontId="15" fillId="0" borderId="0" xfId="0" applyFont="1"/>
    <xf numFmtId="0" fontId="0" fillId="0" borderId="4" xfId="0" applyBorder="1"/>
    <xf numFmtId="3" fontId="0" fillId="0" borderId="4" xfId="0" applyNumberFormat="1" applyBorder="1" applyAlignment="1">
      <alignment horizontal="center" wrapText="1"/>
    </xf>
    <xf numFmtId="167" fontId="18" fillId="0" borderId="4" xfId="0" applyNumberFormat="1" applyFont="1" applyBorder="1"/>
    <xf numFmtId="167" fontId="0" fillId="0" borderId="4" xfId="0" applyNumberFormat="1" applyBorder="1"/>
    <xf numFmtId="0" fontId="0" fillId="0" borderId="4" xfId="0" applyBorder="1" applyAlignment="1">
      <alignment vertical="center" wrapText="1"/>
    </xf>
    <xf numFmtId="4" fontId="0" fillId="0" borderId="4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0" fontId="15" fillId="0" borderId="4" xfId="0" applyFont="1" applyBorder="1" applyAlignment="1">
      <alignment horizontal="center"/>
    </xf>
    <xf numFmtId="0" fontId="0" fillId="0" borderId="5" xfId="0" applyBorder="1"/>
    <xf numFmtId="0" fontId="0" fillId="0" borderId="4" xfId="0" applyBorder="1" applyAlignment="1">
      <alignment horizontal="center"/>
    </xf>
    <xf numFmtId="168" fontId="0" fillId="0" borderId="4" xfId="0" applyNumberFormat="1" applyBorder="1"/>
    <xf numFmtId="0" fontId="0" fillId="0" borderId="6" xfId="0" applyBorder="1"/>
    <xf numFmtId="0" fontId="17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6" xfId="0" applyBorder="1" applyAlignment="1">
      <alignment horizontal="left" wrapText="1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4" xfId="0" applyFont="1" applyBorder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4" xfId="0" applyFont="1" applyBorder="1" applyAlignment="1">
      <alignment horizontal="center" vertical="center" wrapText="1"/>
    </xf>
    <xf numFmtId="0" fontId="21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2" fillId="14" borderId="0" xfId="0" applyFont="1" applyFill="1"/>
    <xf numFmtId="0" fontId="23" fillId="0" borderId="0" xfId="0" applyFont="1"/>
    <xf numFmtId="0" fontId="10" fillId="4" borderId="0" xfId="0" applyFont="1" applyFill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165" fontId="1" fillId="7" borderId="1" xfId="0" applyNumberFormat="1" applyFont="1" applyFill="1" applyBorder="1" applyAlignment="1">
      <alignment horizontal="center" vertical="center" wrapText="1"/>
    </xf>
    <xf numFmtId="166" fontId="13" fillId="7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165" fontId="1" fillId="8" borderId="1" xfId="0" applyNumberFormat="1" applyFont="1" applyFill="1" applyBorder="1" applyAlignment="1">
      <alignment horizontal="center" vertical="center" wrapText="1"/>
    </xf>
    <xf numFmtId="166" fontId="13" fillId="8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165" fontId="1" fillId="9" borderId="1" xfId="0" applyNumberFormat="1" applyFont="1" applyFill="1" applyBorder="1" applyAlignment="1">
      <alignment horizontal="center" vertical="center" wrapText="1"/>
    </xf>
    <xf numFmtId="166" fontId="13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165" fontId="1" fillId="10" borderId="1" xfId="0" applyNumberFormat="1" applyFont="1" applyFill="1" applyBorder="1" applyAlignment="1">
      <alignment horizontal="center" vertical="center" wrapText="1"/>
    </xf>
    <xf numFmtId="166" fontId="13" fillId="10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165" fontId="1" fillId="11" borderId="1" xfId="0" applyNumberFormat="1" applyFont="1" applyFill="1" applyBorder="1" applyAlignment="1">
      <alignment horizontal="center" vertical="center" wrapText="1"/>
    </xf>
    <xf numFmtId="166" fontId="13" fillId="11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165" fontId="1" fillId="12" borderId="1" xfId="0" applyNumberFormat="1" applyFont="1" applyFill="1" applyBorder="1" applyAlignment="1">
      <alignment horizontal="center" vertical="center" wrapText="1"/>
    </xf>
    <xf numFmtId="166" fontId="13" fillId="12" borderId="1" xfId="0" applyNumberFormat="1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66" fontId="13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6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164" fontId="9" fillId="5" borderId="9" xfId="0" applyNumberFormat="1" applyFont="1" applyFill="1" applyBorder="1" applyAlignment="1">
      <alignment horizontal="center" vertical="center" wrapText="1"/>
    </xf>
    <xf numFmtId="164" fontId="6" fillId="5" borderId="9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24" fillId="2" borderId="0" xfId="0" applyFont="1" applyFill="1"/>
    <xf numFmtId="0" fontId="25" fillId="15" borderId="0" xfId="0" applyFont="1" applyFill="1" applyAlignment="1">
      <alignment horizontal="center" vertical="center" wrapText="1"/>
    </xf>
    <xf numFmtId="0" fontId="24" fillId="0" borderId="0" xfId="0" applyFont="1"/>
    <xf numFmtId="0" fontId="26" fillId="2" borderId="0" xfId="0" applyFont="1" applyFill="1"/>
    <xf numFmtId="0" fontId="27" fillId="16" borderId="0" xfId="0" applyFont="1" applyFill="1" applyAlignment="1">
      <alignment horizontal="center" vertical="center" wrapText="1"/>
    </xf>
    <xf numFmtId="0" fontId="26" fillId="0" borderId="0" xfId="0" applyFont="1"/>
    <xf numFmtId="0" fontId="28" fillId="5" borderId="3" xfId="0" applyFont="1" applyFill="1" applyBorder="1" applyAlignment="1">
      <alignment horizontal="center" vertical="center" wrapText="1"/>
    </xf>
    <xf numFmtId="0" fontId="28" fillId="6" borderId="3" xfId="0" applyFont="1" applyFill="1" applyBorder="1" applyAlignment="1">
      <alignment horizontal="center" vertical="center" wrapText="1"/>
    </xf>
    <xf numFmtId="165" fontId="28" fillId="6" borderId="3" xfId="0" applyNumberFormat="1" applyFont="1" applyFill="1" applyBorder="1" applyAlignment="1">
      <alignment horizontal="right" vertical="center"/>
    </xf>
    <xf numFmtId="0" fontId="29" fillId="6" borderId="3" xfId="0" applyFont="1" applyFill="1" applyBorder="1" applyAlignment="1">
      <alignment horizontal="center" vertical="center" wrapText="1"/>
    </xf>
    <xf numFmtId="0" fontId="30" fillId="2" borderId="0" xfId="0" applyFont="1" applyFill="1"/>
    <xf numFmtId="0" fontId="31" fillId="3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 wrapText="1"/>
    </xf>
    <xf numFmtId="164" fontId="31" fillId="3" borderId="1" xfId="0" applyNumberFormat="1" applyFont="1" applyFill="1" applyBorder="1" applyAlignment="1">
      <alignment horizontal="center" vertical="center" wrapText="1"/>
    </xf>
    <xf numFmtId="0" fontId="31" fillId="3" borderId="3" xfId="0" applyFont="1" applyFill="1" applyBorder="1" applyAlignment="1">
      <alignment horizontal="center" vertical="center" wrapText="1"/>
    </xf>
    <xf numFmtId="0" fontId="30" fillId="0" borderId="0" xfId="0" applyFont="1"/>
    <xf numFmtId="0" fontId="32" fillId="17" borderId="0" xfId="0" applyFont="1" applyFill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5" fillId="2" borderId="0" xfId="0" applyFont="1" applyFill="1"/>
    <xf numFmtId="0" fontId="36" fillId="5" borderId="1" xfId="0" applyFont="1" applyFill="1" applyBorder="1" applyAlignment="1">
      <alignment horizontal="center" vertical="center" wrapText="1"/>
    </xf>
    <xf numFmtId="0" fontId="35" fillId="0" borderId="0" xfId="0" applyFont="1"/>
    <xf numFmtId="0" fontId="28" fillId="6" borderId="1" xfId="0" applyFont="1" applyFill="1" applyBorder="1" applyAlignment="1">
      <alignment vertical="center" wrapText="1"/>
    </xf>
    <xf numFmtId="0" fontId="28" fillId="6" borderId="14" xfId="0" applyFont="1" applyFill="1" applyBorder="1" applyAlignment="1">
      <alignment vertical="center" wrapText="1"/>
    </xf>
    <xf numFmtId="0" fontId="38" fillId="2" borderId="0" xfId="0" applyFont="1" applyFill="1"/>
    <xf numFmtId="0" fontId="39" fillId="5" borderId="10" xfId="0" applyFont="1" applyFill="1" applyBorder="1" applyAlignment="1">
      <alignment horizontal="center" vertical="center" wrapText="1"/>
    </xf>
    <xf numFmtId="0" fontId="39" fillId="5" borderId="11" xfId="0" applyFont="1" applyFill="1" applyBorder="1" applyAlignment="1">
      <alignment horizontal="center" vertical="center" wrapText="1"/>
    </xf>
    <xf numFmtId="0" fontId="39" fillId="5" borderId="12" xfId="0" applyFont="1" applyFill="1" applyBorder="1" applyAlignment="1">
      <alignment horizontal="center" vertical="center" wrapText="1"/>
    </xf>
    <xf numFmtId="0" fontId="39" fillId="5" borderId="13" xfId="0" applyFont="1" applyFill="1" applyBorder="1" applyAlignment="1">
      <alignment horizontal="center" vertical="center" wrapText="1"/>
    </xf>
    <xf numFmtId="0" fontId="40" fillId="2" borderId="0" xfId="0" applyFont="1" applyFill="1"/>
    <xf numFmtId="0" fontId="4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D4A22"/>
      <rgbColor rgb="FF0D1117"/>
      <rgbColor rgb="FF808000"/>
      <rgbColor rgb="FF800080"/>
      <rgbColor rgb="FF0D9488"/>
      <rgbColor rgb="FFC0C0C0"/>
      <rgbColor rgb="FF808080"/>
      <rgbColor rgb="FF58A6FF"/>
      <rgbColor rgb="FFDA3633"/>
      <rgbColor rgb="FFFFFFCC"/>
      <rgbColor rgb="FFCCFFFF"/>
      <rgbColor rgb="FF161B22"/>
      <rgbColor rgb="FFFF7B72"/>
      <rgbColor rgb="FF0066CC"/>
      <rgbColor rgb="FFCCCCFF"/>
      <rgbColor rgb="FF12171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FB950"/>
      <rgbColor rgb="FF99CC00"/>
      <rgbColor rgb="FFFFCC00"/>
      <rgbColor rgb="FFD29922"/>
      <rgbColor rgb="FFFF6600"/>
      <rgbColor rgb="FF6E40C9"/>
      <rgbColor rgb="FF8B949E"/>
      <rgbColor rgb="FF0F3460"/>
      <rgbColor rgb="FF238636"/>
      <rgbColor rgb="FF1C2128"/>
      <rgbColor rgb="FF21262D"/>
      <rgbColor rgb="FF993300"/>
      <rgbColor rgb="FF993366"/>
      <rgbColor rgb="FF1F4E78"/>
      <rgbColor rgb="FF3036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915561593034584E-2"/>
          <c:y val="0"/>
          <c:w val="0.70401768535655318"/>
          <c:h val="1"/>
        </c:manualLayout>
      </c:layout>
      <c:doughnutChart>
        <c:varyColors val="1"/>
        <c:ser>
          <c:idx val="5"/>
          <c:order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A6B-4241-BEF2-F15802F936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2A6B-4241-BEF2-F15802F936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A6B-4241-BEF2-F15802F936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2A6B-4241-BEF2-F15802F936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1"/>
              <c:layout>
                <c:manualLayout>
                  <c:x val="0.2660291686988453"/>
                  <c:y val="9.74576347057636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A6B-4241-BEF2-F15802F93655}"/>
                </c:ext>
              </c:extLst>
            </c:dLbl>
            <c:dLbl>
              <c:idx val="2"/>
              <c:layout>
                <c:manualLayout>
                  <c:x val="1.2568307182622616E-2"/>
                  <c:y val="-0.4754420829228900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A6B-4241-BEF2-F15802F93655}"/>
                </c:ext>
              </c:extLst>
            </c:dLbl>
            <c:dLbl>
              <c:idx val="3"/>
              <c:layout>
                <c:manualLayout>
                  <c:x val="-0.18852460773933932"/>
                  <c:y val="-6.497175647050909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A6B-4241-BEF2-F15802F93655}"/>
                </c:ext>
              </c:extLst>
            </c:dLbl>
            <c:dLbl>
              <c:idx val="4"/>
              <c:layout>
                <c:manualLayout>
                  <c:x val="-8.7978150278358314E-2"/>
                  <c:y val="-0.305367255411392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A6B-4241-BEF2-F15802F93655}"/>
                </c:ext>
              </c:extLst>
            </c:dLbl>
            <c:numFmt formatCode="General" sourceLinked="0"/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Dashboard!$B$18:$B$24</c15:sqref>
                  </c15:fullRef>
                </c:ext>
              </c:extLst>
              <c:f>Dashboard!$B$18:$B$23</c:f>
              <c:strCache>
                <c:ptCount val="6"/>
                <c:pt idx="0">
                  <c:v>Material Cost</c:v>
                </c:pt>
                <c:pt idx="1">
                  <c:v>Mfg / Sub-Con Cost</c:v>
                </c:pt>
                <c:pt idx="2">
                  <c:v>Outsource Job Work (Ancillary )</c:v>
                </c:pt>
                <c:pt idx="3">
                  <c:v>Labour Cost(Admin cost)</c:v>
                </c:pt>
                <c:pt idx="4">
                  <c:v>Overhead</c:v>
                </c:pt>
                <c:pt idx="5">
                  <c:v>TOTAL COST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Dashboard!$H$18:$H$24</c15:sqref>
                  </c15:fullRef>
                </c:ext>
              </c:extLst>
              <c:f>Dashboard!$H$18:$H$23</c:f>
              <c:numCache>
                <c:formatCode>0.0%</c:formatCode>
                <c:ptCount val="6"/>
                <c:pt idx="0">
                  <c:v>0.85780750389171412</c:v>
                </c:pt>
                <c:pt idx="1">
                  <c:v>8.1546813799082712E-2</c:v>
                </c:pt>
                <c:pt idx="2">
                  <c:v>3.7140317127278277E-2</c:v>
                </c:pt>
                <c:pt idx="3">
                  <c:v>1.8420768263708694E-2</c:v>
                </c:pt>
                <c:pt idx="4">
                  <c:v>5.0845969182161223E-3</c:v>
                </c:pt>
                <c:pt idx="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8-2A6B-4241-BEF2-F15802F93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rgbClr val="000000">
                          <a:lumMod val="75000"/>
                          <a:lumOff val="25000"/>
                        </a:srgbClr>
                      </a:fgClr>
                      <a:bgClr>
                        <a:srgbClr val="000000">
                          <a:lumMod val="65000"/>
                          <a:lumOff val="35000"/>
                        </a:srgb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pattFill prst="pct75">
                          <a:fgClr>
                            <a:schemeClr val="dk1">
                              <a:lumMod val="75000"/>
                              <a:lumOff val="25000"/>
                            </a:schemeClr>
                          </a:fgClr>
                          <a:bgClr>
                            <a:schemeClr val="dk1">
                              <a:lumMod val="65000"/>
                              <a:lumOff val="35000"/>
                            </a:schemeClr>
                          </a:bgClr>
                        </a:pattFill>
                        <a:ln>
                          <a:noFill/>
                        </a:ln>
                      </c15:spPr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Dashboard!$B$18:$B$24</c15:sqref>
                        </c15:fullRef>
                        <c15:formulaRef>
                          <c15:sqref>Dashboard!$B$18:$B$23</c15:sqref>
                        </c15:formulaRef>
                      </c:ext>
                    </c:extLst>
                    <c:strCache>
                      <c:ptCount val="6"/>
                      <c:pt idx="0">
                        <c:v>Material Cost</c:v>
                      </c:pt>
                      <c:pt idx="1">
                        <c:v>Mfg / Sub-Con Cost</c:v>
                      </c:pt>
                      <c:pt idx="2">
                        <c:v>Outsource Job Work (Ancillary )</c:v>
                      </c:pt>
                      <c:pt idx="3">
                        <c:v>Labour Cost(Admin cost)</c:v>
                      </c:pt>
                      <c:pt idx="4">
                        <c:v>Overhead</c:v>
                      </c:pt>
                      <c:pt idx="5">
                        <c:v>TOTAL COST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Dashboard!$C$18:$C$24</c15:sqref>
                        </c15:fullRef>
                        <c15:formulaRef>
                          <c15:sqref>Dashboard!$C$18:$C$23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3-2A6B-4241-BEF2-F15802F93655}"/>
                  </c:ext>
                </c:extLst>
              </c15:ser>
            </c15:filteredPieSeries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rgbClr val="000000">
                          <a:lumMod val="75000"/>
                          <a:lumOff val="25000"/>
                        </a:srgbClr>
                      </a:fgClr>
                      <a:bgClr>
                        <a:srgbClr val="000000">
                          <a:lumMod val="65000"/>
                          <a:lumOff val="35000"/>
                        </a:srgb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pattFill prst="pct75">
                          <a:fgClr>
                            <a:schemeClr val="dk1">
                              <a:lumMod val="75000"/>
                              <a:lumOff val="25000"/>
                            </a:schemeClr>
                          </a:fgClr>
                          <a:bgClr>
                            <a:schemeClr val="dk1">
                              <a:lumMod val="65000"/>
                              <a:lumOff val="35000"/>
                            </a:schemeClr>
                          </a:bgClr>
                        </a:pattFill>
                        <a:ln>
                          <a:noFill/>
                        </a:ln>
                      </c15:spPr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Dashboard!$B$18:$B$24</c15:sqref>
                        </c15:fullRef>
                        <c15:formulaRef>
                          <c15:sqref>Dashboard!$B$18:$B$23</c15:sqref>
                        </c15:formulaRef>
                      </c:ext>
                    </c:extLst>
                    <c:strCache>
                      <c:ptCount val="6"/>
                      <c:pt idx="0">
                        <c:v>Material Cost</c:v>
                      </c:pt>
                      <c:pt idx="1">
                        <c:v>Mfg / Sub-Con Cost</c:v>
                      </c:pt>
                      <c:pt idx="2">
                        <c:v>Outsource Job Work (Ancillary )</c:v>
                      </c:pt>
                      <c:pt idx="3">
                        <c:v>Labour Cost(Admin cost)</c:v>
                      </c:pt>
                      <c:pt idx="4">
                        <c:v>Overhead</c:v>
                      </c:pt>
                      <c:pt idx="5">
                        <c:v>TOTAL COST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Dashboard!$E$18:$E$24</c15:sqref>
                        </c15:fullRef>
                        <c15:formulaRef>
                          <c15:sqref>Dashboard!$E$18:$E$23</c15:sqref>
                        </c15:formulaRef>
                      </c:ext>
                    </c:extLst>
                    <c:numCache>
                      <c:formatCode>\₹#,##0.00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5-2A6B-4241-BEF2-F15802F93655}"/>
                  </c:ext>
                </c:extLst>
              </c15:ser>
            </c15:filteredPieSeries>
            <c15:filteredPieSeries>
              <c15:ser>
                <c:idx val="3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rgbClr val="000000">
                          <a:lumMod val="75000"/>
                          <a:lumOff val="25000"/>
                        </a:srgbClr>
                      </a:fgClr>
                      <a:bgClr>
                        <a:srgbClr val="000000">
                          <a:lumMod val="65000"/>
                          <a:lumOff val="35000"/>
                        </a:srgb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pattFill prst="pct75">
                          <a:fgClr>
                            <a:schemeClr val="dk1">
                              <a:lumMod val="75000"/>
                              <a:lumOff val="25000"/>
                            </a:schemeClr>
                          </a:fgClr>
                          <a:bgClr>
                            <a:schemeClr val="dk1">
                              <a:lumMod val="65000"/>
                              <a:lumOff val="35000"/>
                            </a:schemeClr>
                          </a:bgClr>
                        </a:pattFill>
                        <a:ln>
                          <a:noFill/>
                        </a:ln>
                      </c15:spPr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Dashboard!$B$18:$B$24</c15:sqref>
                        </c15:fullRef>
                        <c15:formulaRef>
                          <c15:sqref>Dashboard!$B$18:$B$23</c15:sqref>
                        </c15:formulaRef>
                      </c:ext>
                    </c:extLst>
                    <c:strCache>
                      <c:ptCount val="6"/>
                      <c:pt idx="0">
                        <c:v>Material Cost</c:v>
                      </c:pt>
                      <c:pt idx="1">
                        <c:v>Mfg / Sub-Con Cost</c:v>
                      </c:pt>
                      <c:pt idx="2">
                        <c:v>Outsource Job Work (Ancillary )</c:v>
                      </c:pt>
                      <c:pt idx="3">
                        <c:v>Labour Cost(Admin cost)</c:v>
                      </c:pt>
                      <c:pt idx="4">
                        <c:v>Overhead</c:v>
                      </c:pt>
                      <c:pt idx="5">
                        <c:v>TOTAL COST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Dashboard!$F$18:$F$24</c15:sqref>
                        </c15:fullRef>
                        <c15:formulaRef>
                          <c15:sqref>Dashboard!$F$18:$F$23</c15:sqref>
                        </c15:formulaRef>
                      </c:ext>
                    </c:extLst>
                    <c:numCache>
                      <c:formatCode>\₹#,##0.00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6-2A6B-4241-BEF2-F15802F93655}"/>
                  </c:ext>
                </c:extLst>
              </c15:ser>
            </c15:filteredPieSeries>
            <c15:filteredPieSeries>
              <c15:ser>
                <c:idx val="4"/>
                <c:order val="3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rgbClr val="000000">
                          <a:lumMod val="75000"/>
                          <a:lumOff val="25000"/>
                        </a:srgbClr>
                      </a:fgClr>
                      <a:bgClr>
                        <a:srgbClr val="000000">
                          <a:lumMod val="65000"/>
                          <a:lumOff val="35000"/>
                        </a:srgb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pattFill prst="pct75">
                          <a:fgClr>
                            <a:schemeClr val="dk1">
                              <a:lumMod val="75000"/>
                              <a:lumOff val="25000"/>
                            </a:schemeClr>
                          </a:fgClr>
                          <a:bgClr>
                            <a:schemeClr val="dk1">
                              <a:lumMod val="65000"/>
                              <a:lumOff val="35000"/>
                            </a:schemeClr>
                          </a:bgClr>
                        </a:pattFill>
                        <a:ln>
                          <a:noFill/>
                        </a:ln>
                      </c15:spPr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Dashboard!$B$18:$B$24</c15:sqref>
                        </c15:fullRef>
                        <c15:formulaRef>
                          <c15:sqref>Dashboard!$B$18:$B$23</c15:sqref>
                        </c15:formulaRef>
                      </c:ext>
                    </c:extLst>
                    <c:strCache>
                      <c:ptCount val="6"/>
                      <c:pt idx="0">
                        <c:v>Material Cost</c:v>
                      </c:pt>
                      <c:pt idx="1">
                        <c:v>Mfg / Sub-Con Cost</c:v>
                      </c:pt>
                      <c:pt idx="2">
                        <c:v>Outsource Job Work (Ancillary )</c:v>
                      </c:pt>
                      <c:pt idx="3">
                        <c:v>Labour Cost(Admin cost)</c:v>
                      </c:pt>
                      <c:pt idx="4">
                        <c:v>Overhead</c:v>
                      </c:pt>
                      <c:pt idx="5">
                        <c:v>TOTAL COST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Dashboard!$G$18:$G$24</c15:sqref>
                        </c15:fullRef>
                        <c15:formulaRef>
                          <c15:sqref>Dashboard!$G$18:$G$23</c15:sqref>
                        </c15:formulaRef>
                      </c:ext>
                    </c:extLst>
                    <c:numCache>
                      <c:formatCode>\₹#,##0.00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7-2A6B-4241-BEF2-F15802F93655}"/>
                  </c:ext>
                </c:extLst>
              </c15:ser>
            </c15:filteredPieSeries>
            <c15:filteredPieSeries>
              <c15:ser>
                <c:idx val="6"/>
                <c:order val="5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rgbClr val="000000">
                          <a:lumMod val="75000"/>
                          <a:lumOff val="25000"/>
                        </a:srgbClr>
                      </a:fgClr>
                      <a:bgClr>
                        <a:srgbClr val="000000">
                          <a:lumMod val="65000"/>
                          <a:lumOff val="35000"/>
                        </a:srgb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pattFill prst="pct75">
                          <a:fgClr>
                            <a:schemeClr val="dk1">
                              <a:lumMod val="75000"/>
                              <a:lumOff val="25000"/>
                            </a:schemeClr>
                          </a:fgClr>
                          <a:bgClr>
                            <a:schemeClr val="dk1">
                              <a:lumMod val="65000"/>
                              <a:lumOff val="35000"/>
                            </a:schemeClr>
                          </a:bgClr>
                        </a:pattFill>
                        <a:ln>
                          <a:noFill/>
                        </a:ln>
                      </c15:spPr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Dashboard!$B$18:$B$24</c15:sqref>
                        </c15:fullRef>
                        <c15:formulaRef>
                          <c15:sqref>Dashboard!$B$18:$B$23</c15:sqref>
                        </c15:formulaRef>
                      </c:ext>
                    </c:extLst>
                    <c:strCache>
                      <c:ptCount val="6"/>
                      <c:pt idx="0">
                        <c:v>Material Cost</c:v>
                      </c:pt>
                      <c:pt idx="1">
                        <c:v>Mfg / Sub-Con Cost</c:v>
                      </c:pt>
                      <c:pt idx="2">
                        <c:v>Outsource Job Work (Ancillary )</c:v>
                      </c:pt>
                      <c:pt idx="3">
                        <c:v>Labour Cost(Admin cost)</c:v>
                      </c:pt>
                      <c:pt idx="4">
                        <c:v>Overhead</c:v>
                      </c:pt>
                      <c:pt idx="5">
                        <c:v>TOTAL COST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Dashboard!$I$18:$I$24</c15:sqref>
                        </c15:fullRef>
                        <c15:formulaRef>
                          <c15:sqref>Dashboard!$I$18:$I$23</c15:sqref>
                        </c15:formulaRef>
                      </c:ext>
                    </c:extLst>
                    <c:numCache>
                      <c:formatCode>0.0%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9-2A6B-4241-BEF2-F15802F93655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13482115480309"/>
          <c:y val="4.1744609326618907E-2"/>
          <c:w val="0.28686517884519691"/>
          <c:h val="0.82230147867020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198782</xdr:colOff>
      <xdr:row>0</xdr:row>
      <xdr:rowOff>33131</xdr:rowOff>
    </xdr:from>
    <xdr:ext cx="5698435" cy="381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464CCD-F92D-4A8F-A3CB-9A84535EF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humar\Downloads\Product_Costing_Dashboard_Updated.xlsx" TargetMode="External"/><Relationship Id="rId1" Type="http://schemas.openxmlformats.org/officeDocument/2006/relationships/externalLinkPath" Target="Product_Costing_Dashboard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Data"/>
      <sheetName val="BOM_Costing"/>
      <sheetName val="Mfg_Costing  Sub-con"/>
      <sheetName val="Man &amp;Machine Costing"/>
      <sheetName val="Sheet2"/>
      <sheetName val="Missing BOM"/>
      <sheetName val="Cost_Summary"/>
      <sheetName val="Variance_Analysis"/>
      <sheetName val="Savings_Tracker"/>
      <sheetName val="T codes"/>
      <sheetName val="DTH1500_Management_View"/>
      <sheetName val="Costing_Workflow"/>
      <sheetName val="KPI_Dashboard"/>
      <sheetName val="Product_Costing_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46">
          <cell r="A46" t="str">
            <v>Material Cost</v>
          </cell>
          <cell r="B46">
            <v>2133628.5099999998</v>
          </cell>
        </row>
        <row r="47">
          <cell r="A47" t="str">
            <v>Manufacturing Cost</v>
          </cell>
          <cell r="B47">
            <v>171899.1</v>
          </cell>
        </row>
        <row r="48">
          <cell r="A48" t="str">
            <v>Labour Cost</v>
          </cell>
          <cell r="B48">
            <v>76697</v>
          </cell>
        </row>
        <row r="49">
          <cell r="A49" t="str">
            <v>Overhead Cost</v>
          </cell>
          <cell r="B49">
            <v>43040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FEB"/>
    <pageSetUpPr fitToPage="1"/>
  </sheetPr>
  <dimension ref="A1:M79"/>
  <sheetViews>
    <sheetView tabSelected="1" zoomScale="69" zoomScaleNormal="100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B21" sqref="B21:C21"/>
    </sheetView>
  </sheetViews>
  <sheetFormatPr defaultColWidth="8.6640625" defaultRowHeight="14.4" x14ac:dyDescent="0.3"/>
  <cols>
    <col min="1" max="1" width="10.33203125" customWidth="1"/>
    <col min="2" max="2" width="22" customWidth="1"/>
    <col min="3" max="3" width="20" customWidth="1"/>
    <col min="4" max="4" width="18" customWidth="1"/>
    <col min="5" max="6" width="14" customWidth="1"/>
    <col min="7" max="11" width="16" customWidth="1"/>
    <col min="12" max="12" width="2" customWidth="1"/>
    <col min="13" max="13" width="28.33203125" customWidth="1"/>
  </cols>
  <sheetData>
    <row r="1" spans="1:12" ht="6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98" customFormat="1" ht="24" customHeight="1" x14ac:dyDescent="0.35">
      <c r="A2" s="7"/>
      <c r="B2" s="114" t="s">
        <v>0</v>
      </c>
      <c r="C2" s="114"/>
      <c r="D2" s="114"/>
      <c r="E2" s="114"/>
      <c r="F2" s="114"/>
      <c r="G2" s="114"/>
      <c r="H2" s="114"/>
      <c r="I2" s="114"/>
      <c r="J2" s="114"/>
      <c r="K2" s="114"/>
      <c r="L2" s="96"/>
    </row>
    <row r="3" spans="1:12" ht="7.2" customHeight="1" x14ac:dyDescent="0.3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2" s="101" customFormat="1" ht="21.75" customHeight="1" x14ac:dyDescent="0.35">
      <c r="A4" s="7"/>
      <c r="B4" s="97" t="s">
        <v>1</v>
      </c>
      <c r="C4" s="97"/>
      <c r="D4" s="100" t="s">
        <v>2</v>
      </c>
      <c r="E4" s="100"/>
      <c r="F4" s="100"/>
      <c r="G4" s="100"/>
      <c r="H4" s="112" t="s">
        <v>3</v>
      </c>
      <c r="I4" s="112"/>
      <c r="J4" s="112"/>
      <c r="K4" s="112"/>
      <c r="L4" s="99"/>
    </row>
    <row r="5" spans="1:12" ht="18" customHeight="1" x14ac:dyDescent="0.3">
      <c r="A5" s="7"/>
      <c r="B5" s="94" t="s">
        <v>48</v>
      </c>
      <c r="C5" s="94"/>
      <c r="D5" s="95" t="str">
        <f>IFERROR(VLOOKUP(B5,Master_Data!$A:$B,2,0),"-- Select a Product Code --")</f>
        <v>DTH-1500 STANDERD-1</v>
      </c>
      <c r="E5" s="95"/>
      <c r="F5" s="95"/>
      <c r="G5" s="95"/>
      <c r="H5" s="113" t="str">
        <f>IFERROR("Rev: "&amp;VLOOKUP(B5,Master_Data!$A:$C,3,0)&amp;"  |  UoM: "&amp;VLOOKUP(B5,Master_Data!$A:$D,4,0),"--")</f>
        <v>Rev: R1  |  UoM: Nos</v>
      </c>
      <c r="I5" s="113"/>
      <c r="J5" s="113"/>
      <c r="K5" s="113"/>
      <c r="L5" s="7"/>
    </row>
    <row r="6" spans="1:12" ht="10.8" customHeight="1" x14ac:dyDescent="0.3">
      <c r="A6" s="7"/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ht="3" customHeight="1" thickBot="1" x14ac:dyDescent="0.35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7"/>
    </row>
    <row r="8" spans="1:12" s="127" customFormat="1" ht="32.4" customHeight="1" thickBot="1" x14ac:dyDescent="0.35">
      <c r="A8" s="121"/>
      <c r="B8" s="122" t="s">
        <v>5</v>
      </c>
      <c r="C8" s="123"/>
      <c r="D8" s="124" t="s">
        <v>6</v>
      </c>
      <c r="E8" s="125"/>
      <c r="F8" s="125" t="s">
        <v>7</v>
      </c>
      <c r="G8" s="125"/>
      <c r="H8" s="125" t="s">
        <v>8</v>
      </c>
      <c r="I8" s="125"/>
      <c r="J8" s="125" t="s">
        <v>9</v>
      </c>
      <c r="K8" s="123"/>
      <c r="L8" s="126"/>
    </row>
    <row r="9" spans="1:12" ht="10.199999999999999" customHeight="1" x14ac:dyDescent="0.3">
      <c r="A9" s="7"/>
      <c r="B9" s="89">
        <f>COUNTIF(BOM_Costing!$A:$A,B5)</f>
        <v>9</v>
      </c>
      <c r="C9" s="89"/>
      <c r="D9" s="90">
        <f>COUNTIFS(BOM_Costing!$A:$A,B5,BOM_Costing!$D:$D,"Main Assembly")</f>
        <v>9</v>
      </c>
      <c r="E9" s="90"/>
      <c r="F9" s="91">
        <f>COUNTIFS(BOM_Costing!$A:$A,B5,BOM_Costing!$D:$D,"Raw Material")</f>
        <v>0</v>
      </c>
      <c r="G9" s="91"/>
      <c r="H9" s="92">
        <f>IFERROR(VLOOKUP(B5,Master_Data!$A:$E,5,0),0)</f>
        <v>1771424.35</v>
      </c>
      <c r="I9" s="92"/>
      <c r="J9" s="93">
        <f>IFERROR(VLOOKUP(B5,Master_Data!$A:$J,10,0),0)</f>
        <v>2065060.4500000002</v>
      </c>
      <c r="K9" s="93"/>
      <c r="L9" s="7"/>
    </row>
    <row r="10" spans="1:12" ht="24" customHeight="1" x14ac:dyDescent="0.3">
      <c r="A10" s="7"/>
      <c r="B10" s="5"/>
      <c r="C10" s="5"/>
      <c r="D10" s="4"/>
      <c r="E10" s="4"/>
      <c r="F10" s="3"/>
      <c r="G10" s="3"/>
      <c r="H10" s="2"/>
      <c r="I10" s="2"/>
      <c r="J10" s="1"/>
      <c r="K10" s="1"/>
      <c r="L10" s="7"/>
    </row>
    <row r="11" spans="1:12" ht="3" customHeight="1" x14ac:dyDescent="0.3">
      <c r="A11" s="7"/>
      <c r="B11" s="5"/>
      <c r="C11" s="5"/>
      <c r="D11" s="4"/>
      <c r="E11" s="4"/>
      <c r="F11" s="3"/>
      <c r="G11" s="3"/>
      <c r="H11" s="2"/>
      <c r="I11" s="2"/>
      <c r="J11" s="1"/>
      <c r="K11" s="1"/>
      <c r="L11" s="7"/>
    </row>
    <row r="12" spans="1:12" ht="8.4" customHeight="1" x14ac:dyDescent="0.3">
      <c r="A12" s="7"/>
      <c r="B12" s="5"/>
      <c r="C12" s="5"/>
      <c r="D12" s="4"/>
      <c r="E12" s="4"/>
      <c r="F12" s="3"/>
      <c r="G12" s="3"/>
      <c r="H12" s="2"/>
      <c r="I12" s="2"/>
      <c r="J12" s="1"/>
      <c r="K12" s="1"/>
      <c r="L12" s="7"/>
    </row>
    <row r="13" spans="1:12" s="118" customFormat="1" ht="16.8" customHeight="1" x14ac:dyDescent="0.3">
      <c r="A13" s="7"/>
      <c r="B13" s="117" t="s">
        <v>10</v>
      </c>
      <c r="C13" s="117"/>
      <c r="D13" s="117" t="s">
        <v>10</v>
      </c>
      <c r="E13" s="117"/>
      <c r="F13" s="117" t="s">
        <v>10</v>
      </c>
      <c r="G13" s="117"/>
      <c r="H13" s="117" t="s">
        <v>10</v>
      </c>
      <c r="I13" s="117"/>
      <c r="J13" s="117" t="s">
        <v>10</v>
      </c>
      <c r="K13" s="117"/>
      <c r="L13" s="116"/>
    </row>
    <row r="14" spans="1:12" ht="7.5" customHeight="1" x14ac:dyDescent="0.3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1:12" s="111" customFormat="1" ht="38.4" customHeight="1" x14ac:dyDescent="0.35">
      <c r="A15" s="7"/>
      <c r="B15" s="107" t="str">
        <f>B5&amp;"  ─  Total Items: "&amp;COUNTIF(BOM_Costing!$A:$A,B5)</f>
        <v>MA1010101019A0  ─  Total Items: 9</v>
      </c>
      <c r="C15" s="107"/>
      <c r="D15" s="107"/>
      <c r="E15" s="107"/>
      <c r="F15" s="108" t="str">
        <f>COUNTIFS(BOM_Costing!$A:$A,B5,BOM_Costing!$D:$D,"Main Assembly")&amp;" Main Assy  |  "&amp;COUNTIFS(BOM_Costing!$A:$A,B5,BOM_Costing!$D:$D,"Raw Material")&amp;" Raw Matl"</f>
        <v>9 Main Assy  |  0 Raw Matl</v>
      </c>
      <c r="G15" s="108"/>
      <c r="H15" s="108"/>
      <c r="I15" s="109">
        <f>SUMIF(BOM_Costing!$A:$A,B5,BOM_Costing!$I:$I)</f>
        <v>1771424.35</v>
      </c>
      <c r="J15" s="109"/>
      <c r="K15" s="110" t="s">
        <v>20</v>
      </c>
      <c r="L15" s="106"/>
    </row>
    <row r="16" spans="1:12" ht="24" customHeight="1" x14ac:dyDescent="0.3">
      <c r="A16" s="7"/>
      <c r="B16" s="57" t="s">
        <v>21</v>
      </c>
      <c r="C16" s="57"/>
      <c r="D16" s="57"/>
      <c r="E16" s="57"/>
      <c r="F16" s="57"/>
      <c r="G16" s="57"/>
      <c r="H16" s="57"/>
      <c r="I16" s="57"/>
      <c r="J16" s="57"/>
      <c r="K16" s="57"/>
      <c r="L16" s="7"/>
    </row>
    <row r="17" spans="1:13" ht="21.75" customHeight="1" x14ac:dyDescent="0.3">
      <c r="A17" s="7"/>
      <c r="B17" s="8" t="s">
        <v>22</v>
      </c>
      <c r="C17" s="8" t="s">
        <v>23</v>
      </c>
      <c r="D17" s="8" t="s">
        <v>24</v>
      </c>
      <c r="E17" s="8" t="s">
        <v>25</v>
      </c>
      <c r="F17" s="8"/>
      <c r="G17" s="8"/>
      <c r="H17" s="8"/>
      <c r="I17" s="8"/>
      <c r="J17" s="8"/>
      <c r="K17" s="8"/>
      <c r="L17" s="7"/>
    </row>
    <row r="18" spans="1:13" ht="25.5" customHeight="1" x14ac:dyDescent="0.3">
      <c r="A18" s="7"/>
      <c r="B18" s="59" t="s">
        <v>26</v>
      </c>
      <c r="C18" s="59"/>
      <c r="D18" s="60">
        <f>IFERROR(VLOOKUP(B5,Master_Data!$A:$E,5,0),0)</f>
        <v>1771424.35</v>
      </c>
      <c r="E18" s="60"/>
      <c r="F18" s="60"/>
      <c r="G18" s="60"/>
      <c r="H18" s="61">
        <f>IFERROR(IFERROR(VLOOKUP(B5,Master_Data!$A:$E,5,0),0)/(IFERROR(VLOOKUP(B5,Master_Data!$A:$J,10,0),0)),0)</f>
        <v>0.85780750389171412</v>
      </c>
      <c r="I18" s="61"/>
      <c r="J18" s="62" t="s">
        <v>27</v>
      </c>
      <c r="K18" s="62"/>
      <c r="L18" s="7"/>
    </row>
    <row r="19" spans="1:13" ht="25.5" customHeight="1" x14ac:dyDescent="0.3">
      <c r="A19" s="7"/>
      <c r="B19" s="63" t="s">
        <v>28</v>
      </c>
      <c r="C19" s="63"/>
      <c r="D19" s="64">
        <f>IFERROR(VLOOKUP(B5,Master_Data!$A:$F,6,0),0)</f>
        <v>168399.09999999998</v>
      </c>
      <c r="E19" s="64"/>
      <c r="F19" s="64"/>
      <c r="G19" s="64"/>
      <c r="H19" s="65">
        <f>IFERROR(IFERROR(VLOOKUP(B5,Master_Data!$A:$F,6,0),0)/(IFERROR(VLOOKUP(B5,Master_Data!$A:$J,10,0),0)),0)</f>
        <v>8.1546813799082712E-2</v>
      </c>
      <c r="I19" s="65"/>
      <c r="J19" s="66" t="s">
        <v>27</v>
      </c>
      <c r="K19" s="66"/>
      <c r="L19" s="7"/>
    </row>
    <row r="20" spans="1:13" ht="25.5" customHeight="1" x14ac:dyDescent="0.3">
      <c r="A20" s="7"/>
      <c r="B20" s="67" t="s">
        <v>436</v>
      </c>
      <c r="C20" s="67"/>
      <c r="D20" s="68">
        <f>IFERROR(VLOOKUP(B5,Master_Data!$A:$G,7,0),0)</f>
        <v>76697</v>
      </c>
      <c r="E20" s="68"/>
      <c r="F20" s="68"/>
      <c r="G20" s="68"/>
      <c r="H20" s="69">
        <f>IFERROR(IFERROR(VLOOKUP(B5,Master_Data!$A:$G,7,0),0)/(IFERROR(VLOOKUP(B5,Master_Data!$A:$J,10,0),0)),0)</f>
        <v>3.7140317127278277E-2</v>
      </c>
      <c r="I20" s="69"/>
      <c r="J20" s="70" t="s">
        <v>27</v>
      </c>
      <c r="K20" s="70"/>
      <c r="L20" s="7"/>
    </row>
    <row r="21" spans="1:13" ht="25.5" customHeight="1" x14ac:dyDescent="0.3">
      <c r="A21" s="7"/>
      <c r="B21" s="71" t="s">
        <v>433</v>
      </c>
      <c r="C21" s="71"/>
      <c r="D21" s="72">
        <f>IFERROR(VLOOKUP(B5,Master_Data!$A:$H,8,0),0)</f>
        <v>38040</v>
      </c>
      <c r="E21" s="72"/>
      <c r="F21" s="72"/>
      <c r="G21" s="72"/>
      <c r="H21" s="73">
        <f>IFERROR(IFERROR(VLOOKUP(B5,Master_Data!$A:$H,8,0),0)/(IFERROR(VLOOKUP(B5,Master_Data!$A:$J,10,0),0)),0)</f>
        <v>1.8420768263708694E-2</v>
      </c>
      <c r="I21" s="73"/>
      <c r="J21" s="74" t="s">
        <v>27</v>
      </c>
      <c r="K21" s="74"/>
      <c r="L21" s="7"/>
    </row>
    <row r="22" spans="1:13" ht="25.5" customHeight="1" x14ac:dyDescent="0.3">
      <c r="A22" s="7"/>
      <c r="B22" s="75" t="s">
        <v>30</v>
      </c>
      <c r="C22" s="75"/>
      <c r="D22" s="76">
        <f>IFERROR(VLOOKUP(B5,Master_Data!$A:$I,9,0),0)</f>
        <v>10500</v>
      </c>
      <c r="E22" s="76"/>
      <c r="F22" s="76"/>
      <c r="G22" s="76"/>
      <c r="H22" s="77">
        <f>IFERROR(IFERROR(VLOOKUP(B5,Master_Data!$A:$I,9,0),0)/(IFERROR(VLOOKUP(B5,Master_Data!$A:$J,10,0),0)),0)</f>
        <v>5.0845969182161223E-3</v>
      </c>
      <c r="I22" s="77"/>
      <c r="J22" s="78" t="s">
        <v>27</v>
      </c>
      <c r="K22" s="78"/>
      <c r="L22" s="7"/>
    </row>
    <row r="23" spans="1:13" ht="25.5" customHeight="1" x14ac:dyDescent="0.3">
      <c r="A23" s="7"/>
      <c r="B23" s="79" t="s">
        <v>31</v>
      </c>
      <c r="C23" s="79"/>
      <c r="D23" s="80">
        <f>IFERROR(VLOOKUP(B5,Master_Data!$A:$J,10,0),0)</f>
        <v>2065060.4500000002</v>
      </c>
      <c r="E23" s="80"/>
      <c r="F23" s="80"/>
      <c r="G23" s="80"/>
      <c r="H23" s="81">
        <v>1</v>
      </c>
      <c r="I23" s="81"/>
      <c r="J23" s="82" t="s">
        <v>27</v>
      </c>
      <c r="K23" s="82"/>
      <c r="L23" s="7"/>
    </row>
    <row r="24" spans="1:13" ht="25.5" customHeight="1" x14ac:dyDescent="0.3">
      <c r="A24" s="7"/>
      <c r="B24" s="58" t="s">
        <v>32</v>
      </c>
      <c r="C24" s="58"/>
      <c r="D24" s="83">
        <f>IFERROR(VLOOKUP(B5,Master_Data!$A:$L,12,0),0)</f>
        <v>2294511.6111111115</v>
      </c>
      <c r="E24" s="83"/>
      <c r="F24" s="83"/>
      <c r="G24" s="83"/>
      <c r="H24" s="84">
        <f>IFERROR(IFERROR(VLOOKUP(B5,Master_Data!$A:$L,12,0),0)/(IFERROR(VLOOKUP(B5,Master_Data!$A:$J,10,0),0)),0)</f>
        <v>1.1111111111111112</v>
      </c>
      <c r="I24" s="84"/>
      <c r="J24" s="85" t="s">
        <v>27</v>
      </c>
      <c r="K24" s="85"/>
      <c r="L24" s="7"/>
    </row>
    <row r="25" spans="1:13" ht="21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3" ht="21.75" customHeight="1" x14ac:dyDescent="0.3">
      <c r="A26" s="7"/>
      <c r="B26" s="86" t="s">
        <v>33</v>
      </c>
      <c r="C26" s="86"/>
      <c r="D26" s="86"/>
      <c r="E26" s="86"/>
      <c r="F26" s="86"/>
      <c r="G26" s="86"/>
      <c r="H26" s="86"/>
      <c r="I26" s="86"/>
      <c r="J26" s="86"/>
      <c r="K26" s="86"/>
      <c r="L26" s="7"/>
    </row>
    <row r="27" spans="1:13" ht="21.75" customHeight="1" x14ac:dyDescent="0.3">
      <c r="A27" s="7"/>
      <c r="B27" s="57" t="s">
        <v>11</v>
      </c>
      <c r="C27" s="57"/>
      <c r="D27" s="57"/>
      <c r="E27" s="57"/>
      <c r="F27" s="57"/>
      <c r="G27" s="57"/>
      <c r="H27" s="57"/>
      <c r="I27" s="57"/>
      <c r="J27" s="57"/>
      <c r="K27" s="57"/>
      <c r="L27" s="7"/>
    </row>
    <row r="28" spans="1:13" ht="21.75" customHeight="1" x14ac:dyDescent="0.3">
      <c r="A28" s="7"/>
      <c r="B28" s="8" t="s">
        <v>12</v>
      </c>
      <c r="C28" s="8" t="s">
        <v>13</v>
      </c>
      <c r="D28" s="8" t="s">
        <v>14</v>
      </c>
      <c r="E28" s="8" t="s">
        <v>15</v>
      </c>
      <c r="F28" s="8" t="s">
        <v>16</v>
      </c>
      <c r="G28" s="8" t="s">
        <v>17</v>
      </c>
      <c r="H28" s="8" t="s">
        <v>18</v>
      </c>
      <c r="I28" s="8"/>
      <c r="J28" s="8" t="s">
        <v>435</v>
      </c>
      <c r="K28" s="8"/>
      <c r="L28" s="7"/>
      <c r="M28" s="115"/>
    </row>
    <row r="29" spans="1:13" ht="35.4" customHeight="1" x14ac:dyDescent="0.3">
      <c r="A29" s="7"/>
      <c r="B29" s="102"/>
      <c r="C29" s="102" t="str" cm="1">
        <f t="array" ref="C29:J37">_xlfn._xlws.FILTER(BOM_Costing!B2:I1004,BOM_Costing!A2:A1004=$B$5,"NO ITEMS FOUND")</f>
        <v>SA40001068A0</v>
      </c>
      <c r="D29" s="103" t="str">
        <v>DTH-1500 SQ BAR MAST ASSEMBLY</v>
      </c>
      <c r="E29" s="119" t="str">
        <v>Main Assembly</v>
      </c>
      <c r="F29" s="120">
        <v>1</v>
      </c>
      <c r="G29" s="103" t="str">
        <v>Nos</v>
      </c>
      <c r="H29" s="103">
        <v>322277.36</v>
      </c>
      <c r="I29" s="103">
        <v>0</v>
      </c>
      <c r="J29" s="104">
        <v>322277.36</v>
      </c>
      <c r="K29" s="105"/>
      <c r="L29" s="7"/>
    </row>
    <row r="30" spans="1:13" ht="35.4" customHeight="1" x14ac:dyDescent="0.3">
      <c r="A30" s="7"/>
      <c r="B30" s="102"/>
      <c r="C30" s="103" t="str">
        <v>SA40002822A0</v>
      </c>
      <c r="D30" s="103" t="str">
        <v>PLATFORM 6.6METER MAIN ASSEMBLY (DTH-1500)</v>
      </c>
      <c r="E30" s="119" t="str">
        <v>Main Assembly</v>
      </c>
      <c r="F30" s="120">
        <v>1</v>
      </c>
      <c r="G30" s="103" t="str">
        <v>Nos</v>
      </c>
      <c r="H30" s="103">
        <v>249651.62</v>
      </c>
      <c r="I30" s="103">
        <v>0</v>
      </c>
      <c r="J30" s="104">
        <v>249651.62</v>
      </c>
      <c r="K30" s="7"/>
      <c r="L30" s="7"/>
    </row>
    <row r="31" spans="1:13" ht="35.4" customHeight="1" x14ac:dyDescent="0.3">
      <c r="A31" s="7"/>
      <c r="B31" s="102"/>
      <c r="C31" s="103" t="str">
        <v>SA40002823A0</v>
      </c>
      <c r="D31" s="103" t="str">
        <v>PTO &amp; RH GEAR BOX MAIN ASSEMBLY (DTH-1500)</v>
      </c>
      <c r="E31" s="119" t="str">
        <v>Main Assembly</v>
      </c>
      <c r="F31" s="120">
        <v>1</v>
      </c>
      <c r="G31" s="103" t="str">
        <v>Nos</v>
      </c>
      <c r="H31" s="103">
        <v>435076.06</v>
      </c>
      <c r="I31" s="103">
        <v>0</v>
      </c>
      <c r="J31" s="104">
        <v>435076.06</v>
      </c>
      <c r="K31" s="7"/>
      <c r="L31" s="7"/>
    </row>
    <row r="32" spans="1:13" ht="35.4" customHeight="1" x14ac:dyDescent="0.3">
      <c r="A32" s="7"/>
      <c r="B32" s="102"/>
      <c r="C32" s="103" t="str">
        <v>SA40002824A0</v>
      </c>
      <c r="D32" s="103" t="str">
        <v>HYDRAULICS (DTH-1500)</v>
      </c>
      <c r="E32" s="119" t="str">
        <v>Main Assembly</v>
      </c>
      <c r="F32" s="120">
        <v>1</v>
      </c>
      <c r="G32" s="103" t="str">
        <v>Nos</v>
      </c>
      <c r="H32" s="103">
        <v>117000</v>
      </c>
      <c r="I32" s="103">
        <v>0</v>
      </c>
      <c r="J32" s="104">
        <v>117000</v>
      </c>
      <c r="K32" s="7"/>
      <c r="L32" s="7"/>
    </row>
    <row r="33" spans="1:12" ht="35.4" customHeight="1" x14ac:dyDescent="0.3">
      <c r="A33" s="7"/>
      <c r="B33" s="102"/>
      <c r="C33" s="103" t="str">
        <v>SA40002825A0</v>
      </c>
      <c r="D33" s="103" t="str">
        <v>ACCESSORIES (DTH-1500)</v>
      </c>
      <c r="E33" s="119" t="str">
        <v>Main Assembly</v>
      </c>
      <c r="F33" s="120">
        <v>1</v>
      </c>
      <c r="G33" s="103" t="str">
        <v>Nos</v>
      </c>
      <c r="H33" s="103">
        <v>23274.01</v>
      </c>
      <c r="I33" s="103">
        <v>0</v>
      </c>
      <c r="J33" s="104">
        <v>23274.01</v>
      </c>
      <c r="K33" s="7"/>
      <c r="L33" s="7"/>
    </row>
    <row r="34" spans="1:12" ht="35.4" customHeight="1" x14ac:dyDescent="0.3">
      <c r="A34" s="7"/>
      <c r="B34" s="102"/>
      <c r="C34" s="103" t="str">
        <v>SA40002826A0</v>
      </c>
      <c r="D34" s="103" t="str">
        <v>DTH-1500 [ BOC LIST ]</v>
      </c>
      <c r="E34" s="119" t="str">
        <v>Main Assembly</v>
      </c>
      <c r="F34" s="120">
        <v>1</v>
      </c>
      <c r="G34" s="103" t="str">
        <v>Nos</v>
      </c>
      <c r="H34" s="103">
        <v>518804.68</v>
      </c>
      <c r="I34" s="103">
        <v>0</v>
      </c>
      <c r="J34" s="104">
        <v>518804.68</v>
      </c>
      <c r="K34" s="7"/>
      <c r="L34" s="7"/>
    </row>
    <row r="35" spans="1:12" ht="35.4" customHeight="1" x14ac:dyDescent="0.3">
      <c r="A35" s="7"/>
      <c r="B35" s="102"/>
      <c r="C35" s="103" t="str">
        <v>SA40002827A0</v>
      </c>
      <c r="D35" s="103" t="str">
        <v>PAINTING LIST (DTH-1500)</v>
      </c>
      <c r="E35" s="119" t="str">
        <v>Main Assembly</v>
      </c>
      <c r="F35" s="120">
        <v>1</v>
      </c>
      <c r="G35" s="103" t="str">
        <v>Nos</v>
      </c>
      <c r="H35" s="103">
        <v>59344.36</v>
      </c>
      <c r="I35" s="103">
        <v>0</v>
      </c>
      <c r="J35" s="104">
        <v>59344.36</v>
      </c>
      <c r="K35" s="7"/>
      <c r="L35" s="7"/>
    </row>
    <row r="36" spans="1:12" ht="35.4" customHeight="1" x14ac:dyDescent="0.3">
      <c r="A36" s="7"/>
      <c r="B36" s="102"/>
      <c r="C36" s="103" t="str">
        <v>SA40000520A0</v>
      </c>
      <c r="D36" s="103" t="str">
        <v>ROD CHANGER ASSEMBLY</v>
      </c>
      <c r="E36" s="119" t="str">
        <v>Main Assembly</v>
      </c>
      <c r="F36" s="120">
        <v>1</v>
      </c>
      <c r="G36" s="103" t="str">
        <v>Nos</v>
      </c>
      <c r="H36" s="103">
        <v>28375.599999999999</v>
      </c>
      <c r="I36" s="103">
        <v>0</v>
      </c>
      <c r="J36" s="104">
        <v>28375.599999999999</v>
      </c>
      <c r="K36" s="7"/>
      <c r="L36" s="7"/>
    </row>
    <row r="37" spans="1:12" ht="35.4" customHeight="1" x14ac:dyDescent="0.3">
      <c r="A37" s="7"/>
      <c r="B37" s="102"/>
      <c r="C37" s="103" t="str">
        <v>SA09100003A0</v>
      </c>
      <c r="D37" s="103" t="str">
        <v>ONE TON WINCH GEAR BOX MTG ASSLY</v>
      </c>
      <c r="E37" s="119" t="str">
        <v>Main Assembly</v>
      </c>
      <c r="F37" s="120">
        <v>1</v>
      </c>
      <c r="G37" s="103" t="str">
        <v>Nos</v>
      </c>
      <c r="H37" s="103">
        <v>17620.66</v>
      </c>
      <c r="I37" s="103">
        <v>0</v>
      </c>
      <c r="J37" s="104">
        <v>17620.66</v>
      </c>
      <c r="K37" s="7"/>
      <c r="L37" s="7"/>
    </row>
    <row r="38" spans="1:12" ht="15" customHeight="1" x14ac:dyDescent="0.3">
      <c r="A38" s="7"/>
      <c r="B38" s="102"/>
      <c r="C38" s="102"/>
      <c r="D38" s="119"/>
      <c r="E38" s="119"/>
      <c r="F38" s="120"/>
      <c r="G38" s="103"/>
      <c r="H38" s="103"/>
      <c r="I38" s="103"/>
      <c r="J38" s="104"/>
      <c r="K38" s="7"/>
      <c r="L38" s="7"/>
    </row>
    <row r="39" spans="1:12" ht="15" customHeight="1" x14ac:dyDescent="0.3">
      <c r="A39" s="7"/>
      <c r="B39" s="102"/>
      <c r="C39" s="103"/>
      <c r="D39" s="119"/>
      <c r="E39" s="119"/>
      <c r="F39" s="120"/>
      <c r="G39" s="103"/>
      <c r="H39" s="103"/>
      <c r="I39" s="103"/>
      <c r="J39" s="104"/>
      <c r="K39" s="7"/>
      <c r="L39" s="7"/>
    </row>
    <row r="40" spans="1:12" ht="15" customHeight="1" x14ac:dyDescent="0.3">
      <c r="A40" s="7"/>
      <c r="B40" s="102"/>
      <c r="C40" s="103"/>
      <c r="D40" s="119"/>
      <c r="E40" s="119"/>
      <c r="F40" s="120"/>
      <c r="G40" s="103"/>
      <c r="H40" s="103"/>
      <c r="I40" s="103"/>
      <c r="J40" s="104"/>
      <c r="K40" s="7"/>
      <c r="L40" s="7"/>
    </row>
    <row r="41" spans="1:12" ht="15" customHeight="1" x14ac:dyDescent="0.3">
      <c r="A41" s="7"/>
      <c r="B41" s="102"/>
      <c r="C41" s="103"/>
      <c r="D41" s="119"/>
      <c r="E41" s="119"/>
      <c r="F41" s="120"/>
      <c r="G41" s="103"/>
      <c r="H41" s="103"/>
      <c r="I41" s="103"/>
      <c r="J41" s="104"/>
      <c r="K41" s="7"/>
      <c r="L41" s="7"/>
    </row>
    <row r="42" spans="1:12" ht="15" customHeight="1" x14ac:dyDescent="0.3">
      <c r="A42" s="7"/>
      <c r="B42" s="102"/>
      <c r="C42" s="103"/>
      <c r="D42" s="119"/>
      <c r="E42" s="119"/>
      <c r="F42" s="120"/>
      <c r="G42" s="103"/>
      <c r="H42" s="103"/>
      <c r="I42" s="103"/>
      <c r="J42" s="104"/>
      <c r="K42" s="7"/>
      <c r="L42" s="7"/>
    </row>
    <row r="43" spans="1:12" ht="15" customHeight="1" x14ac:dyDescent="0.3">
      <c r="A43" s="7"/>
      <c r="B43" s="102"/>
      <c r="C43" s="103"/>
      <c r="D43" s="119"/>
      <c r="E43" s="119"/>
      <c r="F43" s="120"/>
      <c r="G43" s="103"/>
      <c r="H43" s="103"/>
      <c r="I43" s="103"/>
      <c r="J43" s="104"/>
      <c r="K43" s="7"/>
      <c r="L43" s="7"/>
    </row>
    <row r="44" spans="1:12" ht="15" customHeight="1" x14ac:dyDescent="0.3">
      <c r="A44" s="7"/>
      <c r="B44" s="102"/>
      <c r="C44" s="103"/>
      <c r="D44" s="119"/>
      <c r="E44" s="119"/>
      <c r="F44" s="120"/>
      <c r="G44" s="103"/>
      <c r="H44" s="103"/>
      <c r="I44" s="103"/>
      <c r="J44" s="104"/>
      <c r="K44" s="7"/>
      <c r="L44" s="7"/>
    </row>
    <row r="45" spans="1:12" ht="15" customHeight="1" x14ac:dyDescent="0.3">
      <c r="A45" s="7"/>
      <c r="B45" s="102"/>
      <c r="C45" s="103"/>
      <c r="D45" s="119"/>
      <c r="E45" s="119"/>
      <c r="F45" s="120"/>
      <c r="G45" s="103"/>
      <c r="H45" s="103"/>
      <c r="I45" s="103"/>
      <c r="J45" s="104"/>
      <c r="K45" s="7"/>
      <c r="L45" s="7"/>
    </row>
    <row r="46" spans="1:12" ht="15" customHeight="1" x14ac:dyDescent="0.3">
      <c r="A46" s="7"/>
      <c r="B46" s="102"/>
      <c r="C46" s="103"/>
      <c r="D46" s="119"/>
      <c r="E46" s="119"/>
      <c r="F46" s="120"/>
      <c r="G46" s="103"/>
      <c r="H46" s="103"/>
      <c r="I46" s="103"/>
      <c r="J46" s="104"/>
      <c r="K46" s="7"/>
      <c r="L46" s="7"/>
    </row>
    <row r="47" spans="1:12" ht="15" customHeight="1" x14ac:dyDescent="0.3">
      <c r="A47" s="7"/>
      <c r="B47" s="102"/>
      <c r="C47" s="102"/>
      <c r="D47" s="119"/>
      <c r="E47" s="119"/>
      <c r="F47" s="120"/>
      <c r="G47" s="103"/>
      <c r="H47" s="103"/>
      <c r="I47" s="103"/>
      <c r="J47" s="104"/>
      <c r="K47" s="7"/>
      <c r="L47" s="7"/>
    </row>
    <row r="48" spans="1:12" ht="15" customHeight="1" x14ac:dyDescent="0.3">
      <c r="A48" s="7"/>
      <c r="B48" s="102"/>
      <c r="C48" s="103"/>
      <c r="D48" s="119"/>
      <c r="E48" s="119"/>
      <c r="F48" s="120"/>
      <c r="G48" s="103"/>
      <c r="H48" s="103"/>
      <c r="I48" s="103"/>
      <c r="J48" s="104"/>
      <c r="K48" s="7"/>
      <c r="L48" s="7"/>
    </row>
    <row r="49" spans="1:12" ht="15" customHeight="1" x14ac:dyDescent="0.3">
      <c r="A49" s="7"/>
      <c r="B49" s="102"/>
      <c r="C49" s="103"/>
      <c r="D49" s="7"/>
      <c r="E49" s="7"/>
      <c r="F49" s="7"/>
      <c r="G49" s="7"/>
      <c r="H49" s="7"/>
      <c r="I49" s="7"/>
      <c r="J49" s="7"/>
      <c r="K49" s="7"/>
      <c r="L49" s="7"/>
    </row>
    <row r="50" spans="1:12" ht="15" customHeight="1" x14ac:dyDescent="0.3">
      <c r="A50" s="7"/>
      <c r="B50" s="7"/>
      <c r="C50" s="103"/>
      <c r="D50" s="7"/>
      <c r="E50" s="7"/>
      <c r="F50" s="7"/>
      <c r="G50" s="7"/>
      <c r="H50" s="7"/>
      <c r="I50" s="7"/>
      <c r="J50" s="7"/>
      <c r="K50" s="7"/>
      <c r="L50" s="7"/>
    </row>
    <row r="51" spans="1:12" ht="15" customHeight="1" x14ac:dyDescent="0.3">
      <c r="A51" s="7"/>
      <c r="B51" s="7"/>
      <c r="C51" s="103"/>
      <c r="D51" s="7"/>
      <c r="E51" s="7"/>
      <c r="F51" s="7"/>
      <c r="G51" s="7"/>
      <c r="H51" s="7"/>
      <c r="I51" s="7"/>
      <c r="J51" s="7"/>
      <c r="K51" s="7"/>
      <c r="L51" s="7"/>
    </row>
    <row r="52" spans="1:12" ht="15" customHeight="1" x14ac:dyDescent="0.3">
      <c r="A52" s="7"/>
      <c r="B52" s="7"/>
      <c r="C52" s="102"/>
      <c r="D52" s="7"/>
      <c r="E52" s="7"/>
      <c r="F52" s="7"/>
      <c r="G52" s="7"/>
      <c r="H52" s="7"/>
      <c r="I52" s="7"/>
      <c r="J52" s="7"/>
      <c r="K52" s="7"/>
      <c r="L52" s="7"/>
    </row>
    <row r="53" spans="1:12" ht="15" customHeight="1" x14ac:dyDescent="0.3">
      <c r="A53" s="7"/>
      <c r="B53" s="7"/>
      <c r="C53" s="103"/>
      <c r="D53" s="7"/>
      <c r="E53" s="7"/>
      <c r="F53" s="7"/>
      <c r="G53" s="7"/>
      <c r="H53" s="7"/>
      <c r="I53" s="7"/>
      <c r="J53" s="7"/>
      <c r="K53" s="7"/>
      <c r="L53" s="7"/>
    </row>
    <row r="54" spans="1:12" ht="15" customHeight="1" x14ac:dyDescent="0.3">
      <c r="A54" s="7"/>
      <c r="B54" s="7"/>
      <c r="C54" s="103"/>
      <c r="D54" s="7"/>
      <c r="E54" s="7"/>
      <c r="F54" s="7"/>
      <c r="G54" s="7"/>
      <c r="H54" s="7"/>
      <c r="I54" s="7"/>
      <c r="J54" s="7"/>
      <c r="K54" s="7"/>
      <c r="L54" s="7"/>
    </row>
    <row r="55" spans="1:12" ht="15" customHeight="1" x14ac:dyDescent="0.3">
      <c r="A55" s="7"/>
      <c r="B55" s="7"/>
      <c r="C55" s="103"/>
      <c r="D55" s="7"/>
      <c r="E55" s="7"/>
      <c r="F55" s="7"/>
      <c r="G55" s="7"/>
      <c r="H55" s="7"/>
      <c r="I55" s="7"/>
      <c r="J55" s="7"/>
      <c r="K55" s="7"/>
      <c r="L55" s="7"/>
    </row>
    <row r="56" spans="1:12" ht="1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1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ht="1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ht="1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ht="1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ht="1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ht="1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ht="1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ht="1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ht="1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ht="1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ht="1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ht="1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ht="1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ht="1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ht="1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 ht="1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1:12" ht="1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2" ht="1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 ht="1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1:12" ht="1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1:12" ht="1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2" ht="1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2" ht="1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</sheetData>
  <autoFilter ref="C28:K28" xr:uid="{00000000-0001-0000-0000-000000000000}"/>
  <mergeCells count="60">
    <mergeCell ref="B26:K26"/>
    <mergeCell ref="B23:C23"/>
    <mergeCell ref="D23:G23"/>
    <mergeCell ref="H23:I23"/>
    <mergeCell ref="J23:K23"/>
    <mergeCell ref="B24:C24"/>
    <mergeCell ref="D24:G24"/>
    <mergeCell ref="H24:I24"/>
    <mergeCell ref="J24:K24"/>
    <mergeCell ref="B21:C21"/>
    <mergeCell ref="D21:G21"/>
    <mergeCell ref="H21:I21"/>
    <mergeCell ref="J21:K21"/>
    <mergeCell ref="B22:C22"/>
    <mergeCell ref="D22:G22"/>
    <mergeCell ref="H22:I22"/>
    <mergeCell ref="J22:K22"/>
    <mergeCell ref="B19:C19"/>
    <mergeCell ref="D19:G19"/>
    <mergeCell ref="H19:I19"/>
    <mergeCell ref="J19:K19"/>
    <mergeCell ref="B20:C20"/>
    <mergeCell ref="D20:G20"/>
    <mergeCell ref="H20:I20"/>
    <mergeCell ref="J20:K20"/>
    <mergeCell ref="B16:K16"/>
    <mergeCell ref="B18:C18"/>
    <mergeCell ref="D18:G18"/>
    <mergeCell ref="H18:I18"/>
    <mergeCell ref="J18:K18"/>
    <mergeCell ref="B15:E15"/>
    <mergeCell ref="F15:H15"/>
    <mergeCell ref="I15:J15"/>
    <mergeCell ref="B14:K14"/>
    <mergeCell ref="B27:K27"/>
    <mergeCell ref="B13:C13"/>
    <mergeCell ref="D13:E13"/>
    <mergeCell ref="F13:G13"/>
    <mergeCell ref="H13:I13"/>
    <mergeCell ref="J13:K13"/>
    <mergeCell ref="B9:C12"/>
    <mergeCell ref="D9:E12"/>
    <mergeCell ref="F9:G12"/>
    <mergeCell ref="H9:I12"/>
    <mergeCell ref="J9:K12"/>
    <mergeCell ref="B8:C8"/>
    <mergeCell ref="D8:E8"/>
    <mergeCell ref="F8:G8"/>
    <mergeCell ref="H8:I8"/>
    <mergeCell ref="J8:K8"/>
    <mergeCell ref="B5:C5"/>
    <mergeCell ref="D5:G5"/>
    <mergeCell ref="H5:K5"/>
    <mergeCell ref="B6:K6"/>
    <mergeCell ref="B7:K7"/>
    <mergeCell ref="B2:K2"/>
    <mergeCell ref="B3:K3"/>
    <mergeCell ref="B4:C4"/>
    <mergeCell ref="D4:G4"/>
    <mergeCell ref="H4:K4"/>
  </mergeCells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Master_Data!$A$2:$A$100</xm:f>
          </x14:formula1>
          <x14:formula2>
            <xm:f>0</xm:f>
          </x14:formula2>
          <xm:sqref>B5:C5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4" sqref="K14"/>
    </sheetView>
  </sheetViews>
  <sheetFormatPr defaultColWidth="8.6640625" defaultRowHeight="14.4" x14ac:dyDescent="0.3"/>
  <cols>
    <col min="1" max="1" width="16" customWidth="1"/>
    <col min="2" max="2" width="30.21875" customWidth="1"/>
    <col min="3" max="3" width="8" customWidth="1"/>
    <col min="4" max="4" width="5.21875" customWidth="1"/>
    <col min="5" max="5" width="21.5546875" customWidth="1"/>
    <col min="6" max="7" width="17.88671875" customWidth="1"/>
    <col min="8" max="8" width="15.5546875" customWidth="1"/>
    <col min="9" max="9" width="12.6640625" customWidth="1"/>
    <col min="10" max="10" width="18.6640625" customWidth="1"/>
    <col min="11" max="11" width="14.77734375" customWidth="1"/>
    <col min="12" max="12" width="23" customWidth="1"/>
    <col min="13" max="13" width="12.109375" customWidth="1"/>
  </cols>
  <sheetData>
    <row r="1" spans="1:13" s="10" customFormat="1" ht="27" customHeight="1" x14ac:dyDescent="0.3">
      <c r="A1" s="9" t="s">
        <v>34</v>
      </c>
      <c r="B1" s="9" t="s">
        <v>35</v>
      </c>
      <c r="C1" s="9" t="s">
        <v>36</v>
      </c>
      <c r="D1" s="9" t="s">
        <v>17</v>
      </c>
      <c r="E1" s="9" t="s">
        <v>37</v>
      </c>
      <c r="F1" s="9" t="s">
        <v>38</v>
      </c>
      <c r="G1" s="9" t="s">
        <v>39</v>
      </c>
      <c r="H1" s="9" t="s">
        <v>432</v>
      </c>
      <c r="I1" s="9" t="s">
        <v>40</v>
      </c>
      <c r="J1" s="9" t="s">
        <v>41</v>
      </c>
      <c r="K1" s="9" t="s">
        <v>42</v>
      </c>
      <c r="L1" s="9" t="s">
        <v>43</v>
      </c>
      <c r="M1" s="9" t="s">
        <v>44</v>
      </c>
    </row>
    <row r="2" spans="1:13" s="14" customFormat="1" ht="14.25" customHeight="1" x14ac:dyDescent="0.3">
      <c r="A2" s="11" t="s">
        <v>4</v>
      </c>
      <c r="B2" s="11" t="s">
        <v>45</v>
      </c>
      <c r="C2" s="11" t="s">
        <v>46</v>
      </c>
      <c r="D2" s="11" t="s">
        <v>47</v>
      </c>
      <c r="E2" s="12">
        <f>SUMIF(BOM_Costing!A:A,A2,BOM_Costing!I:I)</f>
        <v>362204.15999999997</v>
      </c>
      <c r="F2" s="12">
        <f>SUMIF('Mfg_Costing  Sub-con'!A:A,A2,'Mfg_Costing  Sub-con'!E:E)</f>
        <v>3500</v>
      </c>
      <c r="G2" s="12"/>
      <c r="H2" s="13">
        <f>SUMIF('Mfg_Costing  Sub-con'!A:A,A2,'Mfg_Costing  Sub-con'!F:F)</f>
        <v>5000</v>
      </c>
      <c r="I2" s="11">
        <f>SUMIF('Mfg_Costing  Sub-con'!A:A,A2,'Mfg_Costing  Sub-con'!G:G)</f>
        <v>4500</v>
      </c>
      <c r="J2" s="12">
        <f>SUM(E2:I2)</f>
        <v>375204.16</v>
      </c>
      <c r="K2" s="11"/>
      <c r="L2" s="12">
        <f>IFERROR(J2/(1-K2/100),"")</f>
        <v>375204.16</v>
      </c>
      <c r="M2" s="11"/>
    </row>
    <row r="3" spans="1:13" s="14" customFormat="1" ht="14.25" customHeight="1" x14ac:dyDescent="0.3">
      <c r="A3" s="15" t="s">
        <v>48</v>
      </c>
      <c r="B3" s="11" t="s">
        <v>49</v>
      </c>
      <c r="C3" s="11" t="s">
        <v>46</v>
      </c>
      <c r="D3" s="11" t="s">
        <v>47</v>
      </c>
      <c r="E3" s="12">
        <f>SUMIF(BOM_Costing!A:A,A3,BOM_Costing!I:I)</f>
        <v>1771424.35</v>
      </c>
      <c r="F3" s="12">
        <f>SUMIF('Mfg_Costing  Sub-con'!A:A,A3,'Mfg_Costing  Sub-con'!E:E)</f>
        <v>168399.09999999998</v>
      </c>
      <c r="G3" s="12">
        <v>76697</v>
      </c>
      <c r="H3" s="13">
        <f>SUMIF('Man &amp;Machine Costing'!A:A,A3,'Man &amp;Machine Costing'!E:E)</f>
        <v>38040</v>
      </c>
      <c r="I3" s="13">
        <f>SUMIF('Man &amp;Machine Costing'!A:A,A3,'Man &amp;Machine Costing'!F:F)</f>
        <v>10500</v>
      </c>
      <c r="J3" s="12">
        <f>SUM(E3:I3)</f>
        <v>2065060.4500000002</v>
      </c>
      <c r="K3" s="11">
        <v>10</v>
      </c>
      <c r="L3" s="12">
        <f>IFERROR(J3/(1-K3/100),"")</f>
        <v>2294511.6111111115</v>
      </c>
      <c r="M3" s="11"/>
    </row>
    <row r="4" spans="1:13" s="14" customFormat="1" ht="14.25" customHeight="1" x14ac:dyDescent="0.3">
      <c r="A4" s="15" t="s">
        <v>434</v>
      </c>
      <c r="B4" s="11" t="s">
        <v>49</v>
      </c>
      <c r="C4" s="11" t="s">
        <v>46</v>
      </c>
      <c r="D4" s="11" t="s">
        <v>47</v>
      </c>
      <c r="E4" s="12">
        <f>SUMIF(BOM_Costing!A:A,A4,BOM_Costing!I:I)</f>
        <v>1771424.35</v>
      </c>
      <c r="F4" s="12">
        <f>SUMIF('Mfg_Costing  Sub-con'!A:A,A4,'Mfg_Costing  Sub-con'!E:E)</f>
        <v>0</v>
      </c>
      <c r="G4" s="12">
        <v>76697</v>
      </c>
      <c r="H4" s="13">
        <f>SUMIF('Man &amp;Machine Costing'!A:A,A4,'Man &amp;Machine Costing'!E:E)</f>
        <v>0</v>
      </c>
      <c r="I4" s="13">
        <f>SUMIF('Man &amp;Machine Costing'!A:A,A4,'Man &amp;Machine Costing'!F:F)</f>
        <v>0</v>
      </c>
      <c r="J4" s="12">
        <f>SUM(E4:I4)</f>
        <v>1848121.35</v>
      </c>
      <c r="K4" s="11"/>
      <c r="L4" s="12">
        <f>IFERROR(J4/(1-K4/100),"")</f>
        <v>1848121.35</v>
      </c>
      <c r="M4" s="11"/>
    </row>
    <row r="5" spans="1:13" s="14" customFormat="1" ht="14.25" customHeight="1" x14ac:dyDescent="0.3">
      <c r="A5" s="15" t="s">
        <v>48</v>
      </c>
      <c r="B5" s="11" t="s">
        <v>49</v>
      </c>
      <c r="C5" s="11" t="s">
        <v>46</v>
      </c>
      <c r="D5" s="11" t="s">
        <v>47</v>
      </c>
      <c r="E5" s="12">
        <f>SUMIF(BOM_Costing!A:A,A5,BOM_Costing!I:I)</f>
        <v>1771424.35</v>
      </c>
      <c r="F5" s="12">
        <f>SUMIF('Mfg_Costing  Sub-con'!A:A,A5,'Mfg_Costing  Sub-con'!E:E)</f>
        <v>168399.09999999998</v>
      </c>
      <c r="G5" s="12">
        <v>76697</v>
      </c>
      <c r="H5" s="13">
        <f>SUMIF('Man &amp;Machine Costing'!A:A,A5,'Man &amp;Machine Costing'!E:E)</f>
        <v>38040</v>
      </c>
      <c r="I5" s="13">
        <f>SUMIF('Man &amp;Machine Costing'!A:A,A5,'Man &amp;Machine Costing'!F:F)</f>
        <v>10500</v>
      </c>
      <c r="J5" s="12">
        <f>SUM(E5:I5)</f>
        <v>2065060.4500000002</v>
      </c>
      <c r="K5" s="11"/>
      <c r="L5" s="12">
        <f>IFERROR(J5/(1-K5/100),"")</f>
        <v>2065060.4500000002</v>
      </c>
      <c r="M5" s="11"/>
    </row>
  </sheetData>
  <phoneticPr fontId="37" type="noConversion"/>
  <dataValidations count="1">
    <dataValidation type="list" allowBlank="1" sqref="D1:D1003" xr:uid="{00000000-0002-0000-0100-000000000000}">
      <formula1>"Nos,Kg,Set,Assembly,Mts"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zoomScaleNormal="100" workbookViewId="0">
      <pane xSplit="6" ySplit="1" topLeftCell="G2" activePane="bottomRight" state="frozen"/>
      <selection activeCell="B8" sqref="B8"/>
      <selection pane="topRight" activeCell="B8" sqref="B8"/>
      <selection pane="bottomLeft" activeCell="B8" sqref="B8"/>
      <selection pane="bottomRight" activeCell="A2" sqref="A2"/>
    </sheetView>
  </sheetViews>
  <sheetFormatPr defaultColWidth="8.6640625" defaultRowHeight="14.4" x14ac:dyDescent="0.3"/>
  <cols>
    <col min="1" max="2" width="16" customWidth="1"/>
    <col min="3" max="3" width="55.21875" customWidth="1"/>
    <col min="4" max="4" width="14" customWidth="1"/>
    <col min="5" max="5" width="5.44140625" customWidth="1"/>
    <col min="6" max="6" width="6.77734375" customWidth="1"/>
    <col min="7" max="7" width="13.44140625" customWidth="1"/>
    <col min="8" max="8" width="12.44140625" customWidth="1"/>
    <col min="9" max="9" width="18" style="17" customWidth="1"/>
    <col min="10" max="10" width="10.44140625" customWidth="1"/>
    <col min="11" max="11" width="9" customWidth="1"/>
  </cols>
  <sheetData>
    <row r="1" spans="1:11" ht="14.25" customHeight="1" x14ac:dyDescent="0.3">
      <c r="A1" s="18" t="s">
        <v>34</v>
      </c>
      <c r="B1" s="18" t="s">
        <v>13</v>
      </c>
      <c r="C1" s="18" t="s">
        <v>14</v>
      </c>
      <c r="D1" s="18" t="s">
        <v>15</v>
      </c>
      <c r="E1" s="18" t="s">
        <v>16</v>
      </c>
      <c r="F1" s="18" t="s">
        <v>17</v>
      </c>
      <c r="G1" s="18" t="s">
        <v>50</v>
      </c>
      <c r="H1" s="18" t="s">
        <v>51</v>
      </c>
      <c r="I1" s="19" t="s">
        <v>52</v>
      </c>
      <c r="J1" s="20" t="s">
        <v>19</v>
      </c>
      <c r="K1" s="20" t="s">
        <v>53</v>
      </c>
    </row>
    <row r="2" spans="1:11" ht="14.25" customHeight="1" x14ac:dyDescent="0.3">
      <c r="A2" s="21" t="s">
        <v>4</v>
      </c>
      <c r="B2" s="21" t="s">
        <v>54</v>
      </c>
      <c r="C2" s="21" t="s">
        <v>55</v>
      </c>
      <c r="D2" s="21" t="s">
        <v>56</v>
      </c>
      <c r="E2" s="22">
        <v>1500</v>
      </c>
      <c r="F2" s="21" t="s">
        <v>57</v>
      </c>
      <c r="G2" s="23">
        <v>108</v>
      </c>
      <c r="H2" s="21"/>
      <c r="I2" s="24">
        <f>E2*G2</f>
        <v>162000</v>
      </c>
      <c r="K2">
        <f>1500/162000</f>
        <v>9.2592592592592587E-3</v>
      </c>
    </row>
    <row r="3" spans="1:11" ht="14.25" customHeight="1" x14ac:dyDescent="0.3">
      <c r="A3" s="21" t="s">
        <v>4</v>
      </c>
      <c r="B3" s="21" t="s">
        <v>58</v>
      </c>
      <c r="C3" s="21" t="s">
        <v>59</v>
      </c>
      <c r="D3" s="21" t="s">
        <v>56</v>
      </c>
      <c r="E3" s="22">
        <v>1</v>
      </c>
      <c r="F3" s="21" t="s">
        <v>47</v>
      </c>
      <c r="G3" s="23">
        <v>14318.39</v>
      </c>
      <c r="H3" s="21"/>
      <c r="I3" s="24">
        <v>17361.84</v>
      </c>
    </row>
    <row r="4" spans="1:11" ht="14.25" customHeight="1" x14ac:dyDescent="0.3">
      <c r="A4" s="21" t="s">
        <v>4</v>
      </c>
      <c r="B4" s="21" t="s">
        <v>60</v>
      </c>
      <c r="C4" s="21" t="s">
        <v>61</v>
      </c>
      <c r="D4" s="21" t="s">
        <v>56</v>
      </c>
      <c r="E4" s="22">
        <v>2</v>
      </c>
      <c r="F4" s="21" t="s">
        <v>47</v>
      </c>
      <c r="G4" s="23">
        <v>14576.85</v>
      </c>
      <c r="H4" s="21"/>
      <c r="I4" s="24">
        <f t="shared" ref="I4:I17" si="0">E4*G4</f>
        <v>29153.7</v>
      </c>
    </row>
    <row r="5" spans="1:11" ht="14.25" customHeight="1" x14ac:dyDescent="0.3">
      <c r="A5" s="21" t="s">
        <v>4</v>
      </c>
      <c r="B5" s="21" t="s">
        <v>62</v>
      </c>
      <c r="C5" s="21" t="s">
        <v>63</v>
      </c>
      <c r="D5" s="21" t="s">
        <v>56</v>
      </c>
      <c r="E5" s="22">
        <v>1</v>
      </c>
      <c r="F5" s="21" t="s">
        <v>47</v>
      </c>
      <c r="G5" s="23">
        <v>13259.35</v>
      </c>
      <c r="H5" s="21"/>
      <c r="I5" s="24">
        <f t="shared" si="0"/>
        <v>13259.35</v>
      </c>
    </row>
    <row r="6" spans="1:11" ht="14.25" customHeight="1" x14ac:dyDescent="0.3">
      <c r="A6" s="21" t="s">
        <v>4</v>
      </c>
      <c r="B6" s="21" t="s">
        <v>64</v>
      </c>
      <c r="C6" s="21" t="s">
        <v>65</v>
      </c>
      <c r="D6" s="21" t="s">
        <v>56</v>
      </c>
      <c r="E6" s="22">
        <v>1</v>
      </c>
      <c r="F6" s="21" t="s">
        <v>47</v>
      </c>
      <c r="G6" s="23">
        <v>38148.699999999997</v>
      </c>
      <c r="H6" s="21"/>
      <c r="I6" s="24">
        <f t="shared" si="0"/>
        <v>38148.699999999997</v>
      </c>
    </row>
    <row r="7" spans="1:11" ht="14.25" customHeight="1" x14ac:dyDescent="0.3">
      <c r="A7" s="21" t="s">
        <v>4</v>
      </c>
      <c r="B7" s="21" t="s">
        <v>66</v>
      </c>
      <c r="C7" s="21" t="s">
        <v>67</v>
      </c>
      <c r="D7" s="21" t="s">
        <v>56</v>
      </c>
      <c r="E7" s="22">
        <v>1</v>
      </c>
      <c r="F7" s="21" t="s">
        <v>47</v>
      </c>
      <c r="G7" s="23">
        <v>2131.19</v>
      </c>
      <c r="H7" s="21"/>
      <c r="I7" s="24">
        <f t="shared" si="0"/>
        <v>2131.19</v>
      </c>
    </row>
    <row r="8" spans="1:11" ht="14.25" customHeight="1" x14ac:dyDescent="0.3">
      <c r="A8" s="21" t="s">
        <v>4</v>
      </c>
      <c r="B8" s="21" t="s">
        <v>68</v>
      </c>
      <c r="C8" s="21" t="s">
        <v>69</v>
      </c>
      <c r="D8" s="21" t="s">
        <v>70</v>
      </c>
      <c r="E8" s="22">
        <v>70</v>
      </c>
      <c r="F8" s="21" t="s">
        <v>71</v>
      </c>
      <c r="G8" s="23">
        <v>298.61</v>
      </c>
      <c r="H8" s="21"/>
      <c r="I8" s="24">
        <f t="shared" si="0"/>
        <v>20902.7</v>
      </c>
    </row>
    <row r="9" spans="1:11" ht="14.25" customHeight="1" x14ac:dyDescent="0.3">
      <c r="A9" s="21" t="s">
        <v>4</v>
      </c>
      <c r="B9" s="21" t="s">
        <v>72</v>
      </c>
      <c r="C9" s="21" t="s">
        <v>73</v>
      </c>
      <c r="D9" s="21" t="s">
        <v>70</v>
      </c>
      <c r="E9" s="22">
        <v>12</v>
      </c>
      <c r="F9" s="21" t="s">
        <v>47</v>
      </c>
      <c r="G9" s="23">
        <v>78.180000000000007</v>
      </c>
      <c r="H9" s="21"/>
      <c r="I9" s="24">
        <f t="shared" si="0"/>
        <v>938.16000000000008</v>
      </c>
    </row>
    <row r="10" spans="1:11" ht="14.25" customHeight="1" x14ac:dyDescent="0.3">
      <c r="A10" s="21" t="s">
        <v>4</v>
      </c>
      <c r="B10" s="21" t="s">
        <v>74</v>
      </c>
      <c r="C10" s="21" t="s">
        <v>75</v>
      </c>
      <c r="D10" s="21" t="s">
        <v>56</v>
      </c>
      <c r="E10" s="22">
        <v>1</v>
      </c>
      <c r="F10" s="21" t="s">
        <v>47</v>
      </c>
      <c r="G10" s="23">
        <v>840.1</v>
      </c>
      <c r="H10" s="21"/>
      <c r="I10" s="24">
        <f t="shared" si="0"/>
        <v>840.1</v>
      </c>
    </row>
    <row r="11" spans="1:11" ht="14.25" customHeight="1" x14ac:dyDescent="0.3">
      <c r="A11" s="21" t="s">
        <v>4</v>
      </c>
      <c r="B11" s="21" t="s">
        <v>76</v>
      </c>
      <c r="C11" s="21" t="s">
        <v>77</v>
      </c>
      <c r="D11" s="21" t="s">
        <v>70</v>
      </c>
      <c r="E11" s="22">
        <v>1</v>
      </c>
      <c r="F11" s="21" t="s">
        <v>47</v>
      </c>
      <c r="G11" s="23">
        <v>2196.1999999999998</v>
      </c>
      <c r="H11" s="21"/>
      <c r="I11" s="24">
        <f t="shared" si="0"/>
        <v>2196.1999999999998</v>
      </c>
    </row>
    <row r="12" spans="1:11" ht="14.25" customHeight="1" x14ac:dyDescent="0.3">
      <c r="A12" s="21" t="s">
        <v>4</v>
      </c>
      <c r="B12" s="21" t="s">
        <v>78</v>
      </c>
      <c r="C12" s="21" t="s">
        <v>79</v>
      </c>
      <c r="D12" s="21" t="s">
        <v>70</v>
      </c>
      <c r="E12" s="22">
        <v>1</v>
      </c>
      <c r="F12" s="21" t="s">
        <v>47</v>
      </c>
      <c r="G12" s="23">
        <v>517.48</v>
      </c>
      <c r="H12" s="21"/>
      <c r="I12" s="24">
        <f t="shared" si="0"/>
        <v>517.48</v>
      </c>
    </row>
    <row r="13" spans="1:11" ht="14.25" customHeight="1" x14ac:dyDescent="0.3">
      <c r="A13" s="21" t="s">
        <v>4</v>
      </c>
      <c r="B13" s="21" t="s">
        <v>80</v>
      </c>
      <c r="C13" s="21" t="s">
        <v>81</v>
      </c>
      <c r="D13" s="21" t="s">
        <v>56</v>
      </c>
      <c r="E13" s="22">
        <v>1</v>
      </c>
      <c r="F13" s="21" t="s">
        <v>47</v>
      </c>
      <c r="G13" s="23">
        <v>145.06</v>
      </c>
      <c r="H13" s="21"/>
      <c r="I13" s="24">
        <f t="shared" si="0"/>
        <v>145.06</v>
      </c>
    </row>
    <row r="14" spans="1:11" ht="14.25" customHeight="1" x14ac:dyDescent="0.3">
      <c r="A14" s="21" t="s">
        <v>4</v>
      </c>
      <c r="B14" s="21" t="s">
        <v>82</v>
      </c>
      <c r="C14" s="21" t="s">
        <v>83</v>
      </c>
      <c r="D14" s="21" t="s">
        <v>70</v>
      </c>
      <c r="E14" s="22">
        <v>1</v>
      </c>
      <c r="F14" s="21" t="s">
        <v>47</v>
      </c>
      <c r="G14" s="23">
        <v>55500</v>
      </c>
      <c r="H14" s="21"/>
      <c r="I14" s="24">
        <f t="shared" si="0"/>
        <v>55500</v>
      </c>
    </row>
    <row r="15" spans="1:11" ht="14.25" customHeight="1" x14ac:dyDescent="0.3">
      <c r="A15" s="21" t="s">
        <v>4</v>
      </c>
      <c r="B15" s="21" t="s">
        <v>84</v>
      </c>
      <c r="C15" s="21" t="s">
        <v>85</v>
      </c>
      <c r="D15" s="21" t="s">
        <v>56</v>
      </c>
      <c r="E15" s="22">
        <v>2</v>
      </c>
      <c r="F15" s="21" t="s">
        <v>47</v>
      </c>
      <c r="G15" s="23">
        <v>215.07</v>
      </c>
      <c r="H15" s="21"/>
      <c r="I15" s="24">
        <f t="shared" si="0"/>
        <v>430.14</v>
      </c>
    </row>
    <row r="16" spans="1:11" ht="14.25" customHeight="1" x14ac:dyDescent="0.3">
      <c r="A16" s="21" t="s">
        <v>4</v>
      </c>
      <c r="B16" s="21" t="s">
        <v>86</v>
      </c>
      <c r="C16" s="21" t="s">
        <v>87</v>
      </c>
      <c r="D16" s="21" t="s">
        <v>56</v>
      </c>
      <c r="E16" s="22">
        <v>1</v>
      </c>
      <c r="F16" s="21" t="s">
        <v>47</v>
      </c>
      <c r="G16" s="23">
        <v>30.22</v>
      </c>
      <c r="H16" s="21"/>
      <c r="I16" s="24">
        <f t="shared" si="0"/>
        <v>30.22</v>
      </c>
    </row>
    <row r="17" spans="1:9" ht="14.25" customHeight="1" x14ac:dyDescent="0.3">
      <c r="A17" s="21" t="s">
        <v>4</v>
      </c>
      <c r="B17" s="21" t="s">
        <v>88</v>
      </c>
      <c r="C17" s="21" t="s">
        <v>89</v>
      </c>
      <c r="D17" s="21" t="s">
        <v>56</v>
      </c>
      <c r="E17" s="22">
        <v>1</v>
      </c>
      <c r="F17" s="21" t="s">
        <v>47</v>
      </c>
      <c r="G17" s="23">
        <v>18649.32</v>
      </c>
      <c r="H17" s="21"/>
      <c r="I17" s="24">
        <f t="shared" si="0"/>
        <v>18649.32</v>
      </c>
    </row>
    <row r="19" spans="1:9" ht="14.25" customHeight="1" x14ac:dyDescent="0.3">
      <c r="A19" s="21" t="s">
        <v>48</v>
      </c>
      <c r="B19" s="25" t="s">
        <v>90</v>
      </c>
      <c r="C19" s="25" t="s">
        <v>45</v>
      </c>
      <c r="D19" s="21" t="s">
        <v>56</v>
      </c>
      <c r="E19" s="22">
        <v>1</v>
      </c>
      <c r="F19" s="21" t="s">
        <v>47</v>
      </c>
      <c r="G19" s="26">
        <v>322277.36</v>
      </c>
      <c r="H19" s="21"/>
      <c r="I19" s="24">
        <f t="shared" ref="I19:I27" si="1">E19*G19</f>
        <v>322277.36</v>
      </c>
    </row>
    <row r="20" spans="1:9" ht="14.25" customHeight="1" x14ac:dyDescent="0.3">
      <c r="A20" s="21" t="s">
        <v>48</v>
      </c>
      <c r="B20" s="25" t="s">
        <v>91</v>
      </c>
      <c r="C20" s="25" t="s">
        <v>92</v>
      </c>
      <c r="D20" s="21" t="s">
        <v>56</v>
      </c>
      <c r="E20" s="22">
        <v>1</v>
      </c>
      <c r="F20" s="21" t="s">
        <v>47</v>
      </c>
      <c r="G20" s="26">
        <v>249651.62</v>
      </c>
      <c r="H20" s="21"/>
      <c r="I20" s="24">
        <f t="shared" si="1"/>
        <v>249651.62</v>
      </c>
    </row>
    <row r="21" spans="1:9" ht="14.25" customHeight="1" x14ac:dyDescent="0.3">
      <c r="A21" s="21" t="s">
        <v>48</v>
      </c>
      <c r="B21" s="25" t="s">
        <v>93</v>
      </c>
      <c r="C21" s="25" t="s">
        <v>94</v>
      </c>
      <c r="D21" s="21" t="s">
        <v>56</v>
      </c>
      <c r="E21" s="22">
        <v>1</v>
      </c>
      <c r="F21" s="21" t="s">
        <v>47</v>
      </c>
      <c r="G21" s="26">
        <v>435076.06</v>
      </c>
      <c r="H21" s="21"/>
      <c r="I21" s="24">
        <f t="shared" si="1"/>
        <v>435076.06</v>
      </c>
    </row>
    <row r="22" spans="1:9" ht="14.25" customHeight="1" x14ac:dyDescent="0.3">
      <c r="A22" s="21" t="s">
        <v>48</v>
      </c>
      <c r="B22" s="25" t="s">
        <v>95</v>
      </c>
      <c r="C22" s="25" t="s">
        <v>96</v>
      </c>
      <c r="D22" s="21" t="s">
        <v>56</v>
      </c>
      <c r="E22" s="22">
        <v>1</v>
      </c>
      <c r="F22" s="21" t="s">
        <v>47</v>
      </c>
      <c r="G22" s="26">
        <v>117000</v>
      </c>
      <c r="H22" s="21"/>
      <c r="I22" s="24">
        <f t="shared" si="1"/>
        <v>117000</v>
      </c>
    </row>
    <row r="23" spans="1:9" ht="14.25" customHeight="1" x14ac:dyDescent="0.3">
      <c r="A23" s="21" t="s">
        <v>48</v>
      </c>
      <c r="B23" s="25" t="s">
        <v>97</v>
      </c>
      <c r="C23" s="25" t="s">
        <v>98</v>
      </c>
      <c r="D23" s="21" t="s">
        <v>56</v>
      </c>
      <c r="E23" s="22">
        <v>1</v>
      </c>
      <c r="F23" s="21" t="s">
        <v>47</v>
      </c>
      <c r="G23" s="26">
        <v>23274.01</v>
      </c>
      <c r="H23" s="21"/>
      <c r="I23" s="24">
        <f t="shared" si="1"/>
        <v>23274.01</v>
      </c>
    </row>
    <row r="24" spans="1:9" ht="14.25" customHeight="1" x14ac:dyDescent="0.3">
      <c r="A24" s="21" t="s">
        <v>48</v>
      </c>
      <c r="B24" s="25" t="s">
        <v>99</v>
      </c>
      <c r="C24" s="25" t="s">
        <v>100</v>
      </c>
      <c r="D24" s="21" t="s">
        <v>56</v>
      </c>
      <c r="E24" s="22">
        <v>1</v>
      </c>
      <c r="F24" s="21" t="s">
        <v>47</v>
      </c>
      <c r="G24" s="26">
        <v>518804.68</v>
      </c>
      <c r="H24" s="21"/>
      <c r="I24" s="24">
        <f t="shared" si="1"/>
        <v>518804.68</v>
      </c>
    </row>
    <row r="25" spans="1:9" ht="14.25" customHeight="1" x14ac:dyDescent="0.3">
      <c r="A25" s="21" t="s">
        <v>48</v>
      </c>
      <c r="B25" s="25" t="s">
        <v>101</v>
      </c>
      <c r="C25" s="25" t="s">
        <v>102</v>
      </c>
      <c r="D25" s="21" t="s">
        <v>56</v>
      </c>
      <c r="E25" s="22">
        <v>1</v>
      </c>
      <c r="F25" s="21" t="s">
        <v>47</v>
      </c>
      <c r="G25" s="26">
        <v>59344.36</v>
      </c>
      <c r="H25" s="21"/>
      <c r="I25" s="24">
        <f t="shared" si="1"/>
        <v>59344.36</v>
      </c>
    </row>
    <row r="26" spans="1:9" ht="14.25" customHeight="1" x14ac:dyDescent="0.3">
      <c r="A26" s="21" t="s">
        <v>48</v>
      </c>
      <c r="B26" s="25" t="s">
        <v>103</v>
      </c>
      <c r="C26" s="25" t="s">
        <v>104</v>
      </c>
      <c r="D26" s="21" t="s">
        <v>56</v>
      </c>
      <c r="E26" s="22">
        <v>1</v>
      </c>
      <c r="F26" s="21" t="s">
        <v>47</v>
      </c>
      <c r="G26" s="26">
        <v>28375.599999999999</v>
      </c>
      <c r="H26" s="21"/>
      <c r="I26" s="24">
        <f t="shared" si="1"/>
        <v>28375.599999999999</v>
      </c>
    </row>
    <row r="27" spans="1:9" ht="14.25" customHeight="1" x14ac:dyDescent="0.3">
      <c r="A27" s="21" t="s">
        <v>48</v>
      </c>
      <c r="B27" s="25" t="s">
        <v>105</v>
      </c>
      <c r="C27" s="25" t="s">
        <v>106</v>
      </c>
      <c r="D27" s="21" t="s">
        <v>56</v>
      </c>
      <c r="E27" s="22">
        <v>1</v>
      </c>
      <c r="F27" s="21" t="s">
        <v>47</v>
      </c>
      <c r="G27" s="26">
        <v>17620.66</v>
      </c>
      <c r="H27" s="21"/>
      <c r="I27" s="24">
        <f t="shared" si="1"/>
        <v>17620.66</v>
      </c>
    </row>
    <row r="28" spans="1:9" ht="14.25" customHeight="1" x14ac:dyDescent="0.3">
      <c r="A28" s="21"/>
      <c r="B28" s="21"/>
      <c r="C28" s="21"/>
      <c r="D28" s="21"/>
      <c r="E28" s="22"/>
      <c r="F28" s="21"/>
      <c r="G28" s="23"/>
      <c r="H28" s="21"/>
      <c r="I28" s="24"/>
    </row>
    <row r="29" spans="1:9" ht="14.25" customHeight="1" x14ac:dyDescent="0.3">
      <c r="A29" s="21" t="s">
        <v>434</v>
      </c>
      <c r="B29" s="25" t="s">
        <v>90</v>
      </c>
      <c r="C29" s="25" t="s">
        <v>45</v>
      </c>
      <c r="D29" s="21" t="s">
        <v>56</v>
      </c>
      <c r="E29" s="22">
        <v>1</v>
      </c>
      <c r="F29" s="21" t="s">
        <v>47</v>
      </c>
      <c r="G29" s="26">
        <v>322277.36</v>
      </c>
      <c r="H29" s="21"/>
      <c r="I29" s="24">
        <f t="shared" ref="I29:I37" si="2">E29*G29</f>
        <v>322277.36</v>
      </c>
    </row>
    <row r="30" spans="1:9" ht="14.25" customHeight="1" x14ac:dyDescent="0.3">
      <c r="A30" s="21" t="s">
        <v>434</v>
      </c>
      <c r="B30" s="25" t="s">
        <v>91</v>
      </c>
      <c r="C30" s="25" t="s">
        <v>92</v>
      </c>
      <c r="D30" s="21" t="s">
        <v>56</v>
      </c>
      <c r="E30" s="22">
        <v>1</v>
      </c>
      <c r="F30" s="21" t="s">
        <v>47</v>
      </c>
      <c r="G30" s="26">
        <v>249651.62</v>
      </c>
      <c r="H30" s="21"/>
      <c r="I30" s="24">
        <f t="shared" si="2"/>
        <v>249651.62</v>
      </c>
    </row>
    <row r="31" spans="1:9" ht="14.25" customHeight="1" x14ac:dyDescent="0.3">
      <c r="A31" s="21" t="s">
        <v>434</v>
      </c>
      <c r="B31" s="25" t="s">
        <v>93</v>
      </c>
      <c r="C31" s="25" t="s">
        <v>94</v>
      </c>
      <c r="D31" s="21" t="s">
        <v>56</v>
      </c>
      <c r="E31" s="22">
        <v>1</v>
      </c>
      <c r="F31" s="21" t="s">
        <v>47</v>
      </c>
      <c r="G31" s="26">
        <v>435076.06</v>
      </c>
      <c r="H31" s="21"/>
      <c r="I31" s="24">
        <f t="shared" si="2"/>
        <v>435076.06</v>
      </c>
    </row>
    <row r="32" spans="1:9" ht="14.25" customHeight="1" x14ac:dyDescent="0.3">
      <c r="A32" s="21" t="s">
        <v>434</v>
      </c>
      <c r="B32" s="25" t="s">
        <v>95</v>
      </c>
      <c r="C32" s="25" t="s">
        <v>96</v>
      </c>
      <c r="D32" s="21" t="s">
        <v>56</v>
      </c>
      <c r="E32" s="22">
        <v>1</v>
      </c>
      <c r="F32" s="21" t="s">
        <v>47</v>
      </c>
      <c r="G32" s="26">
        <v>117000</v>
      </c>
      <c r="H32" s="21"/>
      <c r="I32" s="24">
        <f t="shared" si="2"/>
        <v>117000</v>
      </c>
    </row>
    <row r="33" spans="1:9" ht="14.25" customHeight="1" x14ac:dyDescent="0.3">
      <c r="A33" s="21" t="s">
        <v>434</v>
      </c>
      <c r="B33" s="25" t="s">
        <v>97</v>
      </c>
      <c r="C33" s="25" t="s">
        <v>98</v>
      </c>
      <c r="D33" s="21" t="s">
        <v>56</v>
      </c>
      <c r="E33" s="22">
        <v>1</v>
      </c>
      <c r="F33" s="21" t="s">
        <v>47</v>
      </c>
      <c r="G33" s="26">
        <v>23274.01</v>
      </c>
      <c r="H33" s="21"/>
      <c r="I33" s="24">
        <f t="shared" si="2"/>
        <v>23274.01</v>
      </c>
    </row>
    <row r="34" spans="1:9" ht="14.25" customHeight="1" x14ac:dyDescent="0.3">
      <c r="A34" s="21" t="s">
        <v>434</v>
      </c>
      <c r="B34" s="25" t="s">
        <v>99</v>
      </c>
      <c r="C34" s="25" t="s">
        <v>100</v>
      </c>
      <c r="D34" s="21" t="s">
        <v>56</v>
      </c>
      <c r="E34" s="22">
        <v>1</v>
      </c>
      <c r="F34" s="21" t="s">
        <v>47</v>
      </c>
      <c r="G34" s="26">
        <v>518804.68</v>
      </c>
      <c r="H34" s="21"/>
      <c r="I34" s="24">
        <f t="shared" si="2"/>
        <v>518804.68</v>
      </c>
    </row>
    <row r="35" spans="1:9" ht="14.25" customHeight="1" x14ac:dyDescent="0.3">
      <c r="A35" s="21" t="s">
        <v>434</v>
      </c>
      <c r="B35" s="25" t="s">
        <v>101</v>
      </c>
      <c r="C35" s="25" t="s">
        <v>102</v>
      </c>
      <c r="D35" s="21" t="s">
        <v>56</v>
      </c>
      <c r="E35" s="22">
        <v>1</v>
      </c>
      <c r="F35" s="21" t="s">
        <v>47</v>
      </c>
      <c r="G35" s="26">
        <v>59344.36</v>
      </c>
      <c r="H35" s="21"/>
      <c r="I35" s="24">
        <f t="shared" si="2"/>
        <v>59344.36</v>
      </c>
    </row>
    <row r="36" spans="1:9" ht="14.25" customHeight="1" x14ac:dyDescent="0.3">
      <c r="A36" s="21" t="s">
        <v>434</v>
      </c>
      <c r="B36" s="25" t="s">
        <v>103</v>
      </c>
      <c r="C36" s="25" t="s">
        <v>104</v>
      </c>
      <c r="D36" s="21" t="s">
        <v>56</v>
      </c>
      <c r="E36" s="22">
        <v>1</v>
      </c>
      <c r="F36" s="21" t="s">
        <v>47</v>
      </c>
      <c r="G36" s="26">
        <v>28375.599999999999</v>
      </c>
      <c r="H36" s="21"/>
      <c r="I36" s="24">
        <f t="shared" si="2"/>
        <v>28375.599999999999</v>
      </c>
    </row>
    <row r="37" spans="1:9" ht="14.25" customHeight="1" x14ac:dyDescent="0.3">
      <c r="A37" s="21" t="s">
        <v>434</v>
      </c>
      <c r="B37" s="25"/>
      <c r="C37" s="25" t="s">
        <v>106</v>
      </c>
      <c r="D37" s="21" t="s">
        <v>56</v>
      </c>
      <c r="E37" s="22">
        <v>1</v>
      </c>
      <c r="F37" s="21" t="s">
        <v>47</v>
      </c>
      <c r="G37" s="26">
        <v>17620.66</v>
      </c>
      <c r="H37" s="21">
        <v>100</v>
      </c>
      <c r="I37" s="24">
        <f t="shared" si="2"/>
        <v>17620.66</v>
      </c>
    </row>
  </sheetData>
  <dataValidations count="3">
    <dataValidation type="list" allowBlank="1" sqref="D11:D12 D18 D38:D495" xr:uid="{00000000-0002-0000-0200-000000000000}">
      <formula1>"Raw Material,Bought-Out,Consumable"</formula1>
      <formula2>0</formula2>
    </dataValidation>
    <dataValidation type="list" allowBlank="1" sqref="D1:D10 D13:D17 D19:D37" xr:uid="{00000000-0002-0000-0200-000001000000}">
      <formula1>"Raw Material,Bought-Out,Consumable,Main Assembly"</formula1>
      <formula2>0</formula2>
    </dataValidation>
    <dataValidation type="list" allowBlank="1" sqref="F2:F17 F19:F37" xr:uid="{00000000-0002-0000-0200-000002000000}">
      <formula1>"Nos,Kg,Set,Assembly,Mts"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zoomScaleNormal="100" workbookViewId="0">
      <pane xSplit="5" ySplit="1" topLeftCell="F11" activePane="bottomRight" state="frozen"/>
      <selection pane="topRight" activeCell="F1" sqref="F1"/>
      <selection pane="bottomLeft" activeCell="A12" sqref="A12"/>
      <selection pane="bottomRight" activeCell="C4" sqref="C4"/>
    </sheetView>
  </sheetViews>
  <sheetFormatPr defaultColWidth="8.6640625" defaultRowHeight="14.4" x14ac:dyDescent="0.3"/>
  <cols>
    <col min="1" max="1" width="16" bestFit="1" customWidth="1"/>
    <col min="2" max="2" width="33.44140625" bestFit="1" customWidth="1"/>
    <col min="3" max="3" width="17.88671875" style="27" bestFit="1" customWidth="1"/>
    <col min="4" max="4" width="10.33203125" style="27" bestFit="1" customWidth="1"/>
    <col min="5" max="5" width="26.77734375" style="16" bestFit="1" customWidth="1"/>
    <col min="6" max="6" width="11.88671875" style="16" bestFit="1" customWidth="1"/>
    <col min="7" max="7" width="14.33203125" style="16" bestFit="1" customWidth="1"/>
    <col min="8" max="8" width="60.88671875" bestFit="1" customWidth="1"/>
    <col min="9" max="9" width="12.77734375" customWidth="1"/>
    <col min="11" max="11" width="4" bestFit="1" customWidth="1"/>
  </cols>
  <sheetData>
    <row r="1" spans="1:11" s="14" customFormat="1" x14ac:dyDescent="0.3">
      <c r="A1" s="20" t="s">
        <v>34</v>
      </c>
      <c r="B1" s="18" t="s">
        <v>107</v>
      </c>
      <c r="C1" s="28" t="s">
        <v>108</v>
      </c>
      <c r="D1" s="28" t="s">
        <v>109</v>
      </c>
      <c r="E1" s="13" t="s">
        <v>110</v>
      </c>
      <c r="F1" s="13" t="s">
        <v>29</v>
      </c>
      <c r="G1" s="13" t="s">
        <v>111</v>
      </c>
      <c r="H1" s="20" t="s">
        <v>53</v>
      </c>
    </row>
    <row r="2" spans="1:11" x14ac:dyDescent="0.3">
      <c r="A2" s="29" t="s">
        <v>4</v>
      </c>
      <c r="B2" s="21" t="s">
        <v>112</v>
      </c>
      <c r="C2" s="30">
        <v>8</v>
      </c>
      <c r="D2" s="30">
        <v>250</v>
      </c>
      <c r="E2" s="31">
        <f>C2*D2</f>
        <v>2000</v>
      </c>
      <c r="F2" s="31">
        <v>2500</v>
      </c>
      <c r="G2" s="31">
        <v>2000</v>
      </c>
      <c r="H2" s="32"/>
      <c r="K2">
        <f>8*10*4</f>
        <v>320</v>
      </c>
    </row>
    <row r="3" spans="1:11" x14ac:dyDescent="0.3">
      <c r="A3" s="29" t="s">
        <v>4</v>
      </c>
      <c r="B3" s="21" t="s">
        <v>113</v>
      </c>
      <c r="C3" s="30">
        <v>10</v>
      </c>
      <c r="D3" s="30">
        <v>150</v>
      </c>
      <c r="E3" s="31">
        <f>C3*D3</f>
        <v>1500</v>
      </c>
      <c r="F3" s="31">
        <v>2500</v>
      </c>
      <c r="G3" s="31">
        <v>2500</v>
      </c>
      <c r="H3" s="32"/>
    </row>
    <row r="4" spans="1:11" s="27" customFormat="1" ht="57.6" x14ac:dyDescent="0.3">
      <c r="A4" s="33" t="s">
        <v>48</v>
      </c>
      <c r="B4" s="34" t="s">
        <v>114</v>
      </c>
      <c r="C4" s="30"/>
      <c r="D4" s="30"/>
      <c r="E4" s="31"/>
      <c r="G4" s="31"/>
      <c r="H4" s="35" t="s">
        <v>115</v>
      </c>
      <c r="I4" s="31">
        <v>140000</v>
      </c>
    </row>
    <row r="5" spans="1:11" s="39" customFormat="1" x14ac:dyDescent="0.3">
      <c r="A5" s="36" t="s">
        <v>48</v>
      </c>
      <c r="B5" s="37" t="s">
        <v>116</v>
      </c>
      <c r="C5" s="37"/>
      <c r="D5" s="37"/>
      <c r="E5" s="31">
        <v>30537.52</v>
      </c>
      <c r="F5" s="31"/>
      <c r="G5" s="31"/>
      <c r="H5" s="38"/>
    </row>
    <row r="6" spans="1:11" s="39" customFormat="1" x14ac:dyDescent="0.3">
      <c r="A6" s="36" t="s">
        <v>48</v>
      </c>
      <c r="B6" s="37" t="s">
        <v>117</v>
      </c>
      <c r="C6" s="37"/>
      <c r="D6" s="37"/>
      <c r="E6" s="31">
        <v>1442.66</v>
      </c>
      <c r="F6" s="31"/>
      <c r="G6" s="31"/>
      <c r="H6" s="38"/>
    </row>
    <row r="7" spans="1:11" s="39" customFormat="1" x14ac:dyDescent="0.3">
      <c r="A7" s="36" t="s">
        <v>48</v>
      </c>
      <c r="B7" s="37" t="s">
        <v>118</v>
      </c>
      <c r="C7" s="37"/>
      <c r="D7" s="37"/>
      <c r="E7" s="31">
        <v>1346.2</v>
      </c>
      <c r="F7" s="31"/>
      <c r="G7" s="31"/>
      <c r="H7" s="38"/>
    </row>
    <row r="8" spans="1:11" s="39" customFormat="1" x14ac:dyDescent="0.3">
      <c r="A8" s="36" t="s">
        <v>48</v>
      </c>
      <c r="B8" s="37" t="s">
        <v>119</v>
      </c>
      <c r="C8" s="37"/>
      <c r="D8" s="37"/>
      <c r="E8" s="31">
        <v>672.04</v>
      </c>
      <c r="F8" s="31"/>
      <c r="G8" s="31"/>
      <c r="H8" s="38"/>
    </row>
    <row r="9" spans="1:11" s="39" customFormat="1" x14ac:dyDescent="0.3">
      <c r="A9" s="36" t="s">
        <v>48</v>
      </c>
      <c r="B9" s="37" t="s">
        <v>120</v>
      </c>
      <c r="C9" s="37"/>
      <c r="D9" s="37"/>
      <c r="E9" s="31">
        <v>769.56</v>
      </c>
      <c r="F9" s="31"/>
      <c r="G9" s="31"/>
      <c r="H9" s="38"/>
    </row>
    <row r="10" spans="1:11" s="39" customFormat="1" x14ac:dyDescent="0.3">
      <c r="A10" s="36" t="s">
        <v>48</v>
      </c>
      <c r="B10" s="37" t="s">
        <v>121</v>
      </c>
      <c r="C10" s="37"/>
      <c r="D10" s="37"/>
      <c r="E10" s="31">
        <v>1002.76</v>
      </c>
      <c r="F10" s="31"/>
      <c r="G10" s="31"/>
      <c r="H10" s="38"/>
    </row>
    <row r="11" spans="1:11" s="39" customFormat="1" x14ac:dyDescent="0.3">
      <c r="A11" s="36" t="s">
        <v>48</v>
      </c>
      <c r="B11" s="37" t="s">
        <v>122</v>
      </c>
      <c r="C11" s="37"/>
      <c r="D11" s="37"/>
      <c r="E11" s="31">
        <v>627.52</v>
      </c>
      <c r="F11" s="31"/>
      <c r="G11" s="31"/>
      <c r="H11" s="38"/>
    </row>
    <row r="12" spans="1:11" s="39" customFormat="1" x14ac:dyDescent="0.3">
      <c r="A12" s="36" t="s">
        <v>48</v>
      </c>
      <c r="B12" s="37" t="s">
        <v>123</v>
      </c>
      <c r="C12" s="37"/>
      <c r="D12" s="37"/>
      <c r="E12" s="31">
        <v>526.82000000000005</v>
      </c>
      <c r="F12" s="31"/>
      <c r="G12" s="31"/>
      <c r="H12" s="38"/>
    </row>
    <row r="13" spans="1:11" s="39" customFormat="1" x14ac:dyDescent="0.3">
      <c r="A13" s="36" t="s">
        <v>48</v>
      </c>
      <c r="B13" s="37" t="s">
        <v>124</v>
      </c>
      <c r="C13" s="37"/>
      <c r="D13" s="37"/>
      <c r="E13" s="31">
        <v>395.38</v>
      </c>
      <c r="F13" s="31"/>
      <c r="G13" s="31"/>
      <c r="H13" s="38"/>
    </row>
    <row r="14" spans="1:11" s="39" customFormat="1" x14ac:dyDescent="0.3">
      <c r="A14" s="36" t="s">
        <v>48</v>
      </c>
      <c r="B14" s="37" t="s">
        <v>125</v>
      </c>
      <c r="C14" s="37"/>
      <c r="D14" s="37"/>
      <c r="E14" s="31">
        <v>969.9</v>
      </c>
      <c r="F14" s="31"/>
      <c r="G14" s="31"/>
      <c r="H14" s="38"/>
    </row>
    <row r="15" spans="1:11" s="39" customFormat="1" x14ac:dyDescent="0.3">
      <c r="A15" s="36" t="s">
        <v>48</v>
      </c>
      <c r="B15" s="37" t="s">
        <v>126</v>
      </c>
      <c r="C15" s="37"/>
      <c r="D15" s="37"/>
      <c r="E15" s="31">
        <v>1578.34</v>
      </c>
      <c r="F15" s="31"/>
      <c r="G15" s="31"/>
      <c r="H15" s="38"/>
    </row>
    <row r="16" spans="1:11" s="39" customFormat="1" x14ac:dyDescent="0.3">
      <c r="A16" s="36" t="s">
        <v>48</v>
      </c>
      <c r="B16" s="37" t="s">
        <v>127</v>
      </c>
      <c r="C16" s="37"/>
      <c r="D16" s="37"/>
      <c r="E16" s="31">
        <v>5000</v>
      </c>
      <c r="F16" s="31"/>
      <c r="G16" s="31"/>
      <c r="H16" s="38"/>
    </row>
    <row r="17" spans="1:9" s="39" customFormat="1" x14ac:dyDescent="0.3">
      <c r="A17" s="36" t="s">
        <v>48</v>
      </c>
      <c r="B17" s="37" t="s">
        <v>128</v>
      </c>
      <c r="C17" s="37"/>
      <c r="D17" s="37"/>
      <c r="E17" s="31">
        <v>2000</v>
      </c>
      <c r="F17" s="31"/>
      <c r="G17" s="31"/>
      <c r="H17" s="38"/>
    </row>
    <row r="18" spans="1:9" s="39" customFormat="1" x14ac:dyDescent="0.3">
      <c r="A18" s="36" t="s">
        <v>48</v>
      </c>
      <c r="B18" s="37" t="s">
        <v>129</v>
      </c>
      <c r="C18" s="37"/>
      <c r="D18" s="37"/>
      <c r="E18" s="31">
        <v>455.8</v>
      </c>
      <c r="F18" s="31"/>
      <c r="G18" s="31"/>
      <c r="H18" s="38"/>
    </row>
    <row r="19" spans="1:9" s="39" customFormat="1" x14ac:dyDescent="0.3">
      <c r="A19" s="36" t="s">
        <v>48</v>
      </c>
      <c r="B19" s="37" t="s">
        <v>130</v>
      </c>
      <c r="C19" s="37"/>
      <c r="D19" s="37"/>
      <c r="E19" s="31">
        <v>699.6</v>
      </c>
      <c r="F19" s="31"/>
      <c r="G19" s="31"/>
      <c r="H19" s="38"/>
    </row>
    <row r="20" spans="1:9" s="39" customFormat="1" ht="43.2" x14ac:dyDescent="0.3">
      <c r="A20" s="36" t="s">
        <v>48</v>
      </c>
      <c r="B20" s="37" t="s">
        <v>131</v>
      </c>
      <c r="C20" s="37"/>
      <c r="D20" s="37"/>
      <c r="E20" s="31">
        <v>63600</v>
      </c>
      <c r="F20" s="31"/>
      <c r="G20" s="31"/>
      <c r="H20" s="38"/>
    </row>
    <row r="21" spans="1:9" s="39" customFormat="1" x14ac:dyDescent="0.3">
      <c r="A21" s="36" t="s">
        <v>48</v>
      </c>
      <c r="B21" s="37" t="s">
        <v>132</v>
      </c>
      <c r="C21" s="37"/>
      <c r="D21" s="37"/>
      <c r="E21" s="31">
        <v>34500</v>
      </c>
      <c r="F21" s="31"/>
      <c r="G21" s="31"/>
      <c r="H21" s="38"/>
    </row>
    <row r="22" spans="1:9" s="39" customFormat="1" ht="43.2" x14ac:dyDescent="0.3">
      <c r="A22" s="36" t="s">
        <v>48</v>
      </c>
      <c r="B22" s="37" t="s">
        <v>133</v>
      </c>
      <c r="C22" s="37"/>
      <c r="D22" s="37"/>
      <c r="F22" s="31"/>
      <c r="G22" s="31"/>
      <c r="H22" s="38" t="s">
        <v>134</v>
      </c>
      <c r="I22" s="31">
        <v>35000</v>
      </c>
    </row>
    <row r="23" spans="1:9" s="39" customFormat="1" x14ac:dyDescent="0.3">
      <c r="A23" s="36" t="s">
        <v>48</v>
      </c>
      <c r="B23" s="37" t="s">
        <v>135</v>
      </c>
      <c r="C23" s="37"/>
      <c r="D23" s="37"/>
      <c r="E23" s="31">
        <v>1800</v>
      </c>
      <c r="F23" s="31"/>
      <c r="G23" s="31"/>
      <c r="H23" s="38" t="s">
        <v>136</v>
      </c>
    </row>
    <row r="24" spans="1:9" s="39" customFormat="1" x14ac:dyDescent="0.3">
      <c r="A24" s="36" t="s">
        <v>48</v>
      </c>
      <c r="B24" s="37" t="s">
        <v>137</v>
      </c>
      <c r="C24" s="37"/>
      <c r="D24" s="37"/>
      <c r="E24" s="31">
        <v>12000</v>
      </c>
      <c r="F24" s="31"/>
      <c r="G24" s="31"/>
      <c r="H24" s="38"/>
    </row>
    <row r="25" spans="1:9" s="39" customFormat="1" x14ac:dyDescent="0.3">
      <c r="A25" s="36" t="s">
        <v>48</v>
      </c>
      <c r="B25" s="37" t="s">
        <v>138</v>
      </c>
      <c r="C25" s="37"/>
      <c r="D25" s="37"/>
      <c r="E25" s="31">
        <v>1500</v>
      </c>
      <c r="F25" s="31"/>
      <c r="G25" s="31"/>
      <c r="H25" s="38"/>
    </row>
    <row r="26" spans="1:9" s="39" customFormat="1" x14ac:dyDescent="0.3">
      <c r="A26" s="36" t="s">
        <v>48</v>
      </c>
      <c r="B26" s="37" t="s">
        <v>139</v>
      </c>
      <c r="C26" s="37"/>
      <c r="D26" s="37"/>
      <c r="E26" s="31">
        <v>1200</v>
      </c>
      <c r="F26" s="31"/>
      <c r="G26" s="31"/>
      <c r="H26" s="38"/>
    </row>
    <row r="27" spans="1:9" s="39" customFormat="1" x14ac:dyDescent="0.3">
      <c r="A27" s="36" t="s">
        <v>48</v>
      </c>
      <c r="B27" s="37" t="s">
        <v>140</v>
      </c>
      <c r="C27" s="37"/>
      <c r="D27" s="37"/>
      <c r="E27" s="31">
        <v>800</v>
      </c>
      <c r="F27" s="31"/>
      <c r="G27" s="31"/>
      <c r="H27" s="38"/>
    </row>
    <row r="28" spans="1:9" s="39" customFormat="1" x14ac:dyDescent="0.3">
      <c r="A28" s="36" t="s">
        <v>48</v>
      </c>
      <c r="B28" s="37" t="s">
        <v>141</v>
      </c>
      <c r="C28" s="37"/>
      <c r="D28" s="37"/>
      <c r="E28" s="31">
        <v>500</v>
      </c>
      <c r="F28" s="31"/>
      <c r="G28" s="31"/>
      <c r="H28" s="38"/>
    </row>
    <row r="29" spans="1:9" s="39" customFormat="1" x14ac:dyDescent="0.3">
      <c r="A29" s="36" t="s">
        <v>48</v>
      </c>
      <c r="B29" s="37" t="s">
        <v>142</v>
      </c>
      <c r="C29" s="37"/>
      <c r="D29" s="37"/>
      <c r="E29" s="31">
        <v>4000</v>
      </c>
      <c r="F29" s="31"/>
      <c r="G29" s="31"/>
      <c r="H29" s="38"/>
    </row>
    <row r="30" spans="1:9" s="39" customFormat="1" x14ac:dyDescent="0.3">
      <c r="A30" s="36" t="s">
        <v>48</v>
      </c>
      <c r="B30" s="37" t="s">
        <v>128</v>
      </c>
      <c r="C30" s="37"/>
      <c r="D30" s="37"/>
      <c r="E30" s="31">
        <v>475</v>
      </c>
      <c r="F30" s="31"/>
      <c r="G30" s="31"/>
      <c r="H30" s="3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zoomScaleNormal="100" workbookViewId="0">
      <selection activeCell="E12" sqref="E12"/>
    </sheetView>
  </sheetViews>
  <sheetFormatPr defaultColWidth="8.6640625" defaultRowHeight="14.4" x14ac:dyDescent="0.3"/>
  <cols>
    <col min="1" max="1" width="16" customWidth="1"/>
    <col min="2" max="2" width="8.5546875" customWidth="1"/>
    <col min="3" max="3" width="17.88671875" customWidth="1"/>
    <col min="4" max="4" width="10.33203125" customWidth="1"/>
    <col min="5" max="5" width="11.88671875" customWidth="1"/>
    <col min="6" max="6" width="15.21875" customWidth="1"/>
    <col min="7" max="7" width="15.77734375" customWidth="1"/>
  </cols>
  <sheetData>
    <row r="1" spans="1:7" ht="14.25" customHeight="1" x14ac:dyDescent="0.3">
      <c r="A1" s="20" t="s">
        <v>34</v>
      </c>
      <c r="B1" s="18" t="s">
        <v>107</v>
      </c>
      <c r="C1" s="28" t="s">
        <v>108</v>
      </c>
      <c r="D1" s="28" t="s">
        <v>109</v>
      </c>
      <c r="E1" s="13" t="s">
        <v>29</v>
      </c>
      <c r="F1" s="13" t="s">
        <v>111</v>
      </c>
      <c r="G1" s="20" t="s">
        <v>53</v>
      </c>
    </row>
    <row r="2" spans="1:7" ht="14.25" customHeight="1" x14ac:dyDescent="0.3">
      <c r="A2" s="40" t="s">
        <v>48</v>
      </c>
      <c r="B2" s="21" t="s">
        <v>112</v>
      </c>
      <c r="C2" s="30">
        <v>48</v>
      </c>
      <c r="D2" s="30">
        <v>480</v>
      </c>
      <c r="E2" s="31">
        <f>C2*D2</f>
        <v>23040</v>
      </c>
      <c r="F2" s="31">
        <v>5000</v>
      </c>
      <c r="G2" s="32"/>
    </row>
    <row r="3" spans="1:7" ht="14.25" customHeight="1" x14ac:dyDescent="0.3">
      <c r="A3" s="40" t="s">
        <v>48</v>
      </c>
      <c r="B3" s="21" t="s">
        <v>113</v>
      </c>
      <c r="C3" s="30">
        <v>60</v>
      </c>
      <c r="D3" s="30">
        <v>250</v>
      </c>
      <c r="E3" s="31">
        <f>C3*D3</f>
        <v>15000</v>
      </c>
      <c r="F3" s="31">
        <v>5500</v>
      </c>
      <c r="G3" s="3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zoomScaleNormal="100" workbookViewId="0">
      <selection activeCell="B19" sqref="B19"/>
    </sheetView>
  </sheetViews>
  <sheetFormatPr defaultColWidth="36.6640625" defaultRowHeight="14.4" x14ac:dyDescent="0.3"/>
  <cols>
    <col min="1" max="1" width="22.33203125" customWidth="1"/>
    <col min="2" max="2" width="17.88671875" customWidth="1"/>
    <col min="3" max="3" width="10.33203125" customWidth="1"/>
    <col min="4" max="4" width="14.33203125" customWidth="1"/>
    <col min="5" max="5" width="13.88671875" customWidth="1"/>
    <col min="6" max="6" width="16.21875" customWidth="1"/>
  </cols>
  <sheetData>
    <row r="1" spans="1:6" ht="14.25" customHeight="1" x14ac:dyDescent="0.3">
      <c r="A1" s="41" t="s">
        <v>107</v>
      </c>
      <c r="B1" s="41" t="s">
        <v>143</v>
      </c>
      <c r="C1" s="41" t="s">
        <v>144</v>
      </c>
      <c r="D1" s="41" t="s">
        <v>145</v>
      </c>
      <c r="E1" s="41" t="s">
        <v>146</v>
      </c>
      <c r="F1" s="41" t="s">
        <v>147</v>
      </c>
    </row>
    <row r="2" spans="1:6" ht="14.25" customHeight="1" x14ac:dyDescent="0.3">
      <c r="A2" s="42" t="s">
        <v>148</v>
      </c>
      <c r="B2" s="42">
        <v>120</v>
      </c>
      <c r="C2" s="42">
        <v>550</v>
      </c>
      <c r="D2" s="43">
        <v>66000</v>
      </c>
      <c r="E2" s="43">
        <v>35000</v>
      </c>
      <c r="F2" s="43">
        <v>12000</v>
      </c>
    </row>
    <row r="3" spans="1:6" ht="14.25" customHeight="1" x14ac:dyDescent="0.3">
      <c r="A3" s="42" t="s">
        <v>149</v>
      </c>
      <c r="B3" s="42">
        <v>140</v>
      </c>
      <c r="C3" s="42">
        <v>600</v>
      </c>
      <c r="D3" s="43">
        <v>84000</v>
      </c>
      <c r="E3" s="43">
        <v>42000</v>
      </c>
      <c r="F3" s="43">
        <v>15000</v>
      </c>
    </row>
    <row r="4" spans="1:6" ht="14.25" customHeight="1" x14ac:dyDescent="0.3">
      <c r="A4" s="42" t="s">
        <v>150</v>
      </c>
      <c r="B4" s="42">
        <v>80</v>
      </c>
      <c r="C4" s="42">
        <v>700</v>
      </c>
      <c r="D4" s="43">
        <v>56000</v>
      </c>
      <c r="E4" s="43">
        <v>28000</v>
      </c>
      <c r="F4" s="43">
        <v>10000</v>
      </c>
    </row>
    <row r="5" spans="1:6" ht="14.25" customHeight="1" x14ac:dyDescent="0.3">
      <c r="A5" s="42" t="s">
        <v>151</v>
      </c>
      <c r="B5" s="42">
        <v>95</v>
      </c>
      <c r="C5" s="42">
        <v>500</v>
      </c>
      <c r="D5" s="43">
        <v>47500</v>
      </c>
      <c r="E5" s="43">
        <v>25000</v>
      </c>
      <c r="F5" s="43">
        <v>8000</v>
      </c>
    </row>
    <row r="6" spans="1:6" ht="14.25" customHeight="1" x14ac:dyDescent="0.3">
      <c r="A6" s="42" t="s">
        <v>152</v>
      </c>
      <c r="B6" s="42">
        <v>40</v>
      </c>
      <c r="C6" s="42">
        <v>500</v>
      </c>
      <c r="D6" s="43">
        <v>20000</v>
      </c>
      <c r="E6" s="43">
        <v>10000</v>
      </c>
      <c r="F6" s="43">
        <v>3500</v>
      </c>
    </row>
    <row r="7" spans="1:6" ht="14.25" customHeight="1" x14ac:dyDescent="0.3">
      <c r="A7" s="42" t="s">
        <v>153</v>
      </c>
      <c r="B7" s="42">
        <v>45</v>
      </c>
      <c r="C7" s="42">
        <v>500</v>
      </c>
      <c r="D7" s="43">
        <v>22500</v>
      </c>
      <c r="E7" s="43">
        <v>11000</v>
      </c>
      <c r="F7" s="43">
        <v>4000</v>
      </c>
    </row>
    <row r="8" spans="1:6" ht="27.75" customHeight="1" x14ac:dyDescent="0.3">
      <c r="A8" s="42" t="s">
        <v>154</v>
      </c>
      <c r="B8" s="42">
        <v>55</v>
      </c>
      <c r="C8" s="42">
        <v>600</v>
      </c>
      <c r="D8" s="43">
        <v>33000</v>
      </c>
      <c r="E8" s="43">
        <v>15000</v>
      </c>
      <c r="F8" s="43">
        <v>5500</v>
      </c>
    </row>
    <row r="9" spans="1:6" ht="14.25" customHeight="1" x14ac:dyDescent="0.3">
      <c r="A9" s="42" t="s">
        <v>155</v>
      </c>
      <c r="B9" s="42">
        <v>60</v>
      </c>
      <c r="C9" s="42">
        <v>500</v>
      </c>
      <c r="D9" s="43">
        <v>30000</v>
      </c>
      <c r="E9" s="43">
        <v>14000</v>
      </c>
      <c r="F9" s="43">
        <v>5000</v>
      </c>
    </row>
    <row r="10" spans="1:6" ht="14.25" customHeight="1" x14ac:dyDescent="0.3">
      <c r="A10" s="42" t="s">
        <v>156</v>
      </c>
      <c r="B10" s="42">
        <v>48</v>
      </c>
      <c r="C10" s="42">
        <v>500</v>
      </c>
      <c r="D10" s="43">
        <v>24000</v>
      </c>
      <c r="E10" s="43">
        <v>12000</v>
      </c>
      <c r="F10" s="43">
        <v>4000</v>
      </c>
    </row>
    <row r="11" spans="1:6" ht="14.25" customHeight="1" x14ac:dyDescent="0.3">
      <c r="A11" s="42" t="s">
        <v>157</v>
      </c>
      <c r="B11" s="42">
        <v>78</v>
      </c>
      <c r="C11" s="42">
        <v>680</v>
      </c>
      <c r="D11" s="43">
        <v>53100</v>
      </c>
      <c r="E11" s="43">
        <v>36500</v>
      </c>
      <c r="F11" s="42" t="s">
        <v>158</v>
      </c>
    </row>
    <row r="12" spans="1:6" ht="14.25" customHeight="1" x14ac:dyDescent="0.3">
      <c r="A12" s="42" t="s">
        <v>159</v>
      </c>
      <c r="B12" s="42">
        <v>36</v>
      </c>
      <c r="C12" s="42">
        <v>450</v>
      </c>
      <c r="D12" s="43">
        <v>16200</v>
      </c>
      <c r="E12" s="43">
        <v>9000</v>
      </c>
      <c r="F12" s="43">
        <v>2500</v>
      </c>
    </row>
    <row r="13" spans="1:6" ht="14.25" customHeight="1" x14ac:dyDescent="0.3">
      <c r="A13" s="42" t="s">
        <v>160</v>
      </c>
      <c r="B13" s="42">
        <v>32</v>
      </c>
      <c r="C13" s="42">
        <v>450</v>
      </c>
      <c r="D13" s="43">
        <v>14400</v>
      </c>
      <c r="E13" s="43">
        <v>8000</v>
      </c>
      <c r="F13" s="43">
        <v>2000</v>
      </c>
    </row>
    <row r="14" spans="1:6" ht="14.25" customHeight="1" x14ac:dyDescent="0.3">
      <c r="A14" s="42" t="s">
        <v>161</v>
      </c>
      <c r="B14" s="42">
        <v>50</v>
      </c>
      <c r="C14" s="42">
        <v>500</v>
      </c>
      <c r="D14" s="43">
        <v>25000</v>
      </c>
      <c r="E14" s="43">
        <v>13000</v>
      </c>
      <c r="F14" s="43">
        <v>4500</v>
      </c>
    </row>
    <row r="15" spans="1:6" ht="14.25" customHeight="1" x14ac:dyDescent="0.3">
      <c r="A15" s="42" t="s">
        <v>162</v>
      </c>
      <c r="B15" s="42">
        <v>60</v>
      </c>
      <c r="C15" s="42">
        <v>400</v>
      </c>
      <c r="D15" s="43">
        <v>24000</v>
      </c>
      <c r="E15" s="43">
        <v>12000</v>
      </c>
      <c r="F15" s="43">
        <v>4000</v>
      </c>
    </row>
    <row r="16" spans="1:6" ht="14.25" customHeight="1" x14ac:dyDescent="0.3">
      <c r="A16" s="42" t="s">
        <v>163</v>
      </c>
      <c r="B16" s="42">
        <v>40</v>
      </c>
      <c r="C16" s="42">
        <v>600</v>
      </c>
      <c r="D16" s="43">
        <v>24000</v>
      </c>
      <c r="E16" s="43">
        <v>10000</v>
      </c>
      <c r="F16" s="43">
        <v>5000</v>
      </c>
    </row>
    <row r="17" spans="1:6" ht="14.25" customHeight="1" x14ac:dyDescent="0.3">
      <c r="A17" s="42" t="s">
        <v>164</v>
      </c>
      <c r="B17" s="42">
        <v>24</v>
      </c>
      <c r="C17" s="42">
        <v>450</v>
      </c>
      <c r="D17" s="43">
        <v>10800</v>
      </c>
      <c r="E17" s="43">
        <v>6000</v>
      </c>
      <c r="F17" s="43">
        <v>2000</v>
      </c>
    </row>
    <row r="18" spans="1:6" ht="14.25" customHeight="1" x14ac:dyDescent="0.3">
      <c r="B18">
        <f>SUM(B2:B17)</f>
        <v>1003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L75"/>
  <sheetViews>
    <sheetView topLeftCell="A2" zoomScaleNormal="100" workbookViewId="0">
      <selection activeCell="C5" sqref="C5"/>
    </sheetView>
  </sheetViews>
  <sheetFormatPr defaultColWidth="8.6640625" defaultRowHeight="14.4" x14ac:dyDescent="0.3"/>
  <cols>
    <col min="2" max="2" width="6" customWidth="1"/>
    <col min="3" max="3" width="40.33203125" customWidth="1"/>
    <col min="4" max="4" width="6.21875" customWidth="1"/>
    <col min="5" max="5" width="12.88671875" customWidth="1"/>
    <col min="6" max="6" width="6" customWidth="1"/>
    <col min="7" max="7" width="28.77734375" customWidth="1"/>
    <col min="8" max="8" width="9.21875" customWidth="1"/>
    <col min="10" max="10" width="24.6640625" customWidth="1"/>
    <col min="11" max="11" width="27.77734375" customWidth="1"/>
  </cols>
  <sheetData>
    <row r="3" spans="2:12" ht="18" customHeight="1" x14ac:dyDescent="0.35">
      <c r="B3" s="87" t="s">
        <v>165</v>
      </c>
      <c r="C3" s="87"/>
      <c r="D3" s="87"/>
      <c r="F3" s="87" t="s">
        <v>166</v>
      </c>
      <c r="G3" s="87"/>
      <c r="H3" s="87"/>
      <c r="J3" s="88" t="s">
        <v>167</v>
      </c>
      <c r="K3" s="88"/>
      <c r="L3" s="88"/>
    </row>
    <row r="4" spans="2:12" ht="14.25" customHeight="1" x14ac:dyDescent="0.3">
      <c r="B4" s="44" t="s">
        <v>168</v>
      </c>
      <c r="C4" s="44" t="s">
        <v>169</v>
      </c>
      <c r="D4" s="44" t="s">
        <v>170</v>
      </c>
      <c r="F4" s="44" t="s">
        <v>168</v>
      </c>
      <c r="G4" s="44" t="s">
        <v>169</v>
      </c>
      <c r="H4" s="44" t="s">
        <v>170</v>
      </c>
      <c r="J4" s="34" t="s">
        <v>171</v>
      </c>
      <c r="K4" s="11" t="s">
        <v>172</v>
      </c>
      <c r="L4" s="34" t="s">
        <v>170</v>
      </c>
    </row>
    <row r="5" spans="2:12" ht="14.25" customHeight="1" x14ac:dyDescent="0.3">
      <c r="B5" s="45">
        <v>1</v>
      </c>
      <c r="C5" s="45" t="s">
        <v>173</v>
      </c>
      <c r="D5" s="45">
        <v>2</v>
      </c>
      <c r="F5" s="30">
        <v>1</v>
      </c>
      <c r="G5" s="30" t="s">
        <v>174</v>
      </c>
      <c r="H5" s="30" t="s">
        <v>175</v>
      </c>
      <c r="J5" s="30">
        <v>1</v>
      </c>
      <c r="K5" s="21" t="s">
        <v>176</v>
      </c>
      <c r="L5" s="30">
        <v>4</v>
      </c>
    </row>
    <row r="6" spans="2:12" ht="14.25" customHeight="1" x14ac:dyDescent="0.3">
      <c r="B6" s="45">
        <v>2</v>
      </c>
      <c r="C6" s="45" t="s">
        <v>177</v>
      </c>
      <c r="D6" s="45">
        <v>2</v>
      </c>
      <c r="F6" s="30">
        <v>2</v>
      </c>
      <c r="G6" s="30" t="s">
        <v>178</v>
      </c>
      <c r="H6" s="30" t="s">
        <v>179</v>
      </c>
      <c r="J6" s="30">
        <v>2</v>
      </c>
      <c r="K6" s="21" t="s">
        <v>180</v>
      </c>
      <c r="L6" s="30">
        <v>1</v>
      </c>
    </row>
    <row r="7" spans="2:12" ht="14.25" customHeight="1" x14ac:dyDescent="0.3">
      <c r="B7" s="45">
        <v>3</v>
      </c>
      <c r="C7" s="45" t="s">
        <v>181</v>
      </c>
      <c r="D7" s="45">
        <v>1</v>
      </c>
      <c r="F7" s="30">
        <v>3</v>
      </c>
      <c r="G7" s="30" t="s">
        <v>182</v>
      </c>
      <c r="H7" s="30" t="s">
        <v>183</v>
      </c>
      <c r="J7" s="30">
        <v>3</v>
      </c>
      <c r="K7" s="21" t="s">
        <v>184</v>
      </c>
      <c r="L7" s="30">
        <v>1</v>
      </c>
    </row>
    <row r="8" spans="2:12" ht="14.25" customHeight="1" x14ac:dyDescent="0.3">
      <c r="B8" s="45">
        <v>4</v>
      </c>
      <c r="C8" s="45" t="s">
        <v>185</v>
      </c>
      <c r="D8" s="45">
        <v>1</v>
      </c>
      <c r="F8" s="30">
        <v>4</v>
      </c>
      <c r="G8" s="30" t="s">
        <v>186</v>
      </c>
      <c r="H8" s="30" t="s">
        <v>187</v>
      </c>
      <c r="J8" s="30"/>
      <c r="K8" s="21"/>
      <c r="L8" s="30"/>
    </row>
    <row r="9" spans="2:12" ht="18" customHeight="1" x14ac:dyDescent="0.35">
      <c r="B9" s="45">
        <v>5</v>
      </c>
      <c r="C9" s="45" t="s">
        <v>188</v>
      </c>
      <c r="D9" s="45">
        <v>1</v>
      </c>
      <c r="F9" s="30">
        <v>5</v>
      </c>
      <c r="G9" s="30" t="s">
        <v>189</v>
      </c>
      <c r="H9" s="30" t="s">
        <v>190</v>
      </c>
      <c r="J9" s="88" t="s">
        <v>191</v>
      </c>
      <c r="K9" s="88"/>
      <c r="L9" s="88"/>
    </row>
    <row r="10" spans="2:12" ht="14.25" customHeight="1" x14ac:dyDescent="0.3">
      <c r="B10" s="45">
        <v>6</v>
      </c>
      <c r="C10" s="45" t="s">
        <v>192</v>
      </c>
      <c r="D10" s="45">
        <v>1</v>
      </c>
      <c r="F10" s="30">
        <v>6</v>
      </c>
      <c r="G10" s="30" t="s">
        <v>193</v>
      </c>
      <c r="H10" s="30" t="s">
        <v>194</v>
      </c>
      <c r="J10" s="30">
        <v>1</v>
      </c>
      <c r="K10" s="21" t="s">
        <v>195</v>
      </c>
      <c r="L10" s="30">
        <v>2</v>
      </c>
    </row>
    <row r="11" spans="2:12" ht="14.25" customHeight="1" x14ac:dyDescent="0.3">
      <c r="B11" s="45">
        <v>7</v>
      </c>
      <c r="C11" s="45" t="s">
        <v>196</v>
      </c>
      <c r="D11" s="45">
        <v>1</v>
      </c>
      <c r="F11" s="30">
        <v>7</v>
      </c>
      <c r="G11" s="30" t="s">
        <v>197</v>
      </c>
      <c r="H11" s="30" t="s">
        <v>198</v>
      </c>
      <c r="J11" s="30">
        <v>2</v>
      </c>
      <c r="K11" s="21" t="s">
        <v>199</v>
      </c>
      <c r="L11" s="30">
        <v>4</v>
      </c>
    </row>
    <row r="12" spans="2:12" ht="14.25" customHeight="1" x14ac:dyDescent="0.3">
      <c r="B12" s="45">
        <v>8</v>
      </c>
      <c r="C12" s="45" t="s">
        <v>200</v>
      </c>
      <c r="D12" s="45">
        <v>1</v>
      </c>
      <c r="F12" s="30">
        <v>8</v>
      </c>
      <c r="G12" s="30" t="s">
        <v>201</v>
      </c>
      <c r="H12" s="30" t="s">
        <v>183</v>
      </c>
      <c r="J12" s="30"/>
      <c r="K12" s="21"/>
      <c r="L12" s="30"/>
    </row>
    <row r="13" spans="2:12" ht="18" customHeight="1" x14ac:dyDescent="0.35">
      <c r="B13" s="45">
        <v>9</v>
      </c>
      <c r="C13" s="45" t="s">
        <v>202</v>
      </c>
      <c r="D13" s="45">
        <v>1</v>
      </c>
      <c r="F13" s="30">
        <v>9</v>
      </c>
      <c r="G13" s="30" t="s">
        <v>203</v>
      </c>
      <c r="H13" s="30"/>
      <c r="J13" s="88" t="s">
        <v>204</v>
      </c>
      <c r="K13" s="88"/>
      <c r="L13" s="88"/>
    </row>
    <row r="14" spans="2:12" ht="14.25" customHeight="1" x14ac:dyDescent="0.3">
      <c r="B14" s="45">
        <v>10</v>
      </c>
      <c r="C14" s="45" t="s">
        <v>205</v>
      </c>
      <c r="D14" s="45">
        <v>1</v>
      </c>
      <c r="F14" s="30">
        <v>10</v>
      </c>
      <c r="G14" s="30" t="s">
        <v>206</v>
      </c>
      <c r="H14" s="30">
        <v>12</v>
      </c>
      <c r="J14" s="30">
        <v>1</v>
      </c>
      <c r="K14" s="21" t="s">
        <v>207</v>
      </c>
      <c r="L14" s="30">
        <v>1</v>
      </c>
    </row>
    <row r="15" spans="2:12" ht="14.25" customHeight="1" x14ac:dyDescent="0.3">
      <c r="B15" s="46"/>
      <c r="C15" s="46"/>
      <c r="D15" s="46"/>
      <c r="F15" s="30">
        <v>11</v>
      </c>
      <c r="G15" s="30" t="s">
        <v>208</v>
      </c>
      <c r="H15" s="30" t="s">
        <v>209</v>
      </c>
      <c r="J15" s="30">
        <v>2</v>
      </c>
      <c r="K15" s="21" t="s">
        <v>210</v>
      </c>
      <c r="L15" s="30">
        <v>1</v>
      </c>
    </row>
    <row r="16" spans="2:12" ht="14.25" customHeight="1" x14ac:dyDescent="0.3">
      <c r="B16" s="46"/>
      <c r="C16" s="46"/>
      <c r="D16" s="46"/>
      <c r="F16" s="30">
        <v>12</v>
      </c>
      <c r="G16" s="30" t="s">
        <v>211</v>
      </c>
      <c r="H16" s="30" t="s">
        <v>198</v>
      </c>
      <c r="J16" s="30">
        <v>3</v>
      </c>
      <c r="K16" s="21" t="s">
        <v>212</v>
      </c>
      <c r="L16" s="30">
        <v>1</v>
      </c>
    </row>
    <row r="17" spans="2:12" ht="14.25" customHeight="1" x14ac:dyDescent="0.3">
      <c r="B17" s="39"/>
      <c r="C17" s="39"/>
      <c r="D17" s="39"/>
      <c r="F17" s="27"/>
      <c r="G17" s="27"/>
      <c r="H17" s="27"/>
      <c r="J17" s="30">
        <v>4</v>
      </c>
      <c r="K17" s="21" t="s">
        <v>213</v>
      </c>
      <c r="L17" s="30">
        <v>1</v>
      </c>
    </row>
    <row r="18" spans="2:12" ht="14.25" customHeight="1" x14ac:dyDescent="0.3">
      <c r="B18" s="87" t="s">
        <v>214</v>
      </c>
      <c r="C18" s="87"/>
      <c r="D18" s="87"/>
      <c r="J18" s="30">
        <v>5</v>
      </c>
      <c r="K18" s="21" t="s">
        <v>215</v>
      </c>
      <c r="L18" s="30">
        <v>2</v>
      </c>
    </row>
    <row r="19" spans="2:12" ht="14.25" customHeight="1" x14ac:dyDescent="0.3">
      <c r="B19" s="44" t="s">
        <v>168</v>
      </c>
      <c r="C19" s="44" t="s">
        <v>169</v>
      </c>
      <c r="D19" s="44" t="s">
        <v>170</v>
      </c>
      <c r="J19" s="30">
        <v>6</v>
      </c>
      <c r="K19" s="21" t="s">
        <v>216</v>
      </c>
      <c r="L19" s="30">
        <v>2</v>
      </c>
    </row>
    <row r="20" spans="2:12" ht="14.25" customHeight="1" x14ac:dyDescent="0.3">
      <c r="B20" s="45">
        <v>1</v>
      </c>
      <c r="C20" s="45" t="s">
        <v>217</v>
      </c>
      <c r="D20" s="45">
        <v>3</v>
      </c>
      <c r="J20" s="30">
        <v>7</v>
      </c>
      <c r="K20" s="21" t="s">
        <v>218</v>
      </c>
      <c r="L20" s="30">
        <v>1</v>
      </c>
    </row>
    <row r="21" spans="2:12" ht="14.25" customHeight="1" x14ac:dyDescent="0.3">
      <c r="B21" s="45">
        <v>2</v>
      </c>
      <c r="C21" s="45" t="s">
        <v>219</v>
      </c>
      <c r="D21" s="45">
        <v>3</v>
      </c>
      <c r="J21" s="30">
        <v>8</v>
      </c>
      <c r="K21" s="21" t="s">
        <v>220</v>
      </c>
      <c r="L21" s="30">
        <v>1</v>
      </c>
    </row>
    <row r="22" spans="2:12" ht="14.25" customHeight="1" x14ac:dyDescent="0.3">
      <c r="B22" s="45">
        <v>3</v>
      </c>
      <c r="C22" s="45" t="s">
        <v>221</v>
      </c>
      <c r="D22" s="45">
        <v>2</v>
      </c>
      <c r="J22" s="30">
        <v>9</v>
      </c>
      <c r="K22" s="21" t="s">
        <v>222</v>
      </c>
      <c r="L22" s="30">
        <v>1</v>
      </c>
    </row>
    <row r="23" spans="2:12" ht="14.25" customHeight="1" x14ac:dyDescent="0.3">
      <c r="B23" s="45">
        <v>4</v>
      </c>
      <c r="C23" s="45" t="s">
        <v>223</v>
      </c>
      <c r="D23" s="45">
        <v>1</v>
      </c>
      <c r="J23" s="30">
        <v>10</v>
      </c>
      <c r="K23" s="21" t="s">
        <v>224</v>
      </c>
      <c r="L23" s="30">
        <v>1</v>
      </c>
    </row>
    <row r="24" spans="2:12" ht="14.25" customHeight="1" x14ac:dyDescent="0.3">
      <c r="B24" s="45">
        <v>5</v>
      </c>
      <c r="C24" s="45" t="s">
        <v>225</v>
      </c>
      <c r="D24" s="45">
        <v>2</v>
      </c>
      <c r="J24" s="30">
        <v>11</v>
      </c>
      <c r="K24" s="21" t="s">
        <v>226</v>
      </c>
      <c r="L24" s="30">
        <v>1</v>
      </c>
    </row>
    <row r="25" spans="2:12" ht="14.25" customHeight="1" x14ac:dyDescent="0.3">
      <c r="B25" s="45">
        <v>6</v>
      </c>
      <c r="C25" s="45" t="s">
        <v>227</v>
      </c>
      <c r="D25" s="45">
        <v>4</v>
      </c>
      <c r="J25" s="30">
        <v>12</v>
      </c>
      <c r="K25" s="21" t="s">
        <v>228</v>
      </c>
      <c r="L25" s="30">
        <v>1</v>
      </c>
    </row>
    <row r="26" spans="2:12" ht="14.25" customHeight="1" x14ac:dyDescent="0.3">
      <c r="B26" s="45">
        <v>7</v>
      </c>
      <c r="C26" s="45" t="s">
        <v>229</v>
      </c>
      <c r="D26" s="45">
        <v>1</v>
      </c>
      <c r="J26" s="30">
        <v>13</v>
      </c>
      <c r="K26" s="21" t="s">
        <v>230</v>
      </c>
      <c r="L26" s="30">
        <v>1</v>
      </c>
    </row>
    <row r="27" spans="2:12" ht="14.25" customHeight="1" x14ac:dyDescent="0.3">
      <c r="J27" s="30"/>
      <c r="K27" s="21"/>
      <c r="L27" s="30"/>
    </row>
    <row r="28" spans="2:12" ht="18" customHeight="1" x14ac:dyDescent="0.35">
      <c r="J28" s="88" t="s">
        <v>231</v>
      </c>
      <c r="K28" s="88"/>
      <c r="L28" s="88"/>
    </row>
    <row r="29" spans="2:12" ht="14.25" customHeight="1" x14ac:dyDescent="0.3">
      <c r="J29" s="34" t="s">
        <v>171</v>
      </c>
      <c r="K29" s="11" t="s">
        <v>172</v>
      </c>
      <c r="L29" s="34" t="s">
        <v>170</v>
      </c>
    </row>
    <row r="30" spans="2:12" ht="14.25" customHeight="1" x14ac:dyDescent="0.3">
      <c r="J30" s="30">
        <v>1</v>
      </c>
      <c r="K30" s="21" t="s">
        <v>232</v>
      </c>
      <c r="L30" s="30">
        <v>8</v>
      </c>
    </row>
    <row r="31" spans="2:12" ht="14.25" customHeight="1" x14ac:dyDescent="0.3">
      <c r="J31" s="30"/>
      <c r="K31" s="21"/>
      <c r="L31" s="30"/>
    </row>
    <row r="32" spans="2:12" ht="18" customHeight="1" x14ac:dyDescent="0.35">
      <c r="J32" s="88" t="s">
        <v>191</v>
      </c>
      <c r="K32" s="88"/>
      <c r="L32" s="88"/>
    </row>
    <row r="33" spans="10:12" ht="14.25" customHeight="1" x14ac:dyDescent="0.3">
      <c r="J33" s="34" t="s">
        <v>171</v>
      </c>
      <c r="K33" s="11" t="s">
        <v>172</v>
      </c>
      <c r="L33" s="34" t="s">
        <v>170</v>
      </c>
    </row>
    <row r="34" spans="10:12" ht="14.25" customHeight="1" x14ac:dyDescent="0.3">
      <c r="J34" s="30">
        <v>1</v>
      </c>
      <c r="K34" s="21" t="s">
        <v>233</v>
      </c>
      <c r="L34" s="30">
        <v>6</v>
      </c>
    </row>
    <row r="35" spans="10:12" ht="14.25" customHeight="1" x14ac:dyDescent="0.3">
      <c r="J35" s="30">
        <v>2</v>
      </c>
      <c r="K35" s="21" t="s">
        <v>234</v>
      </c>
      <c r="L35" s="30">
        <v>3</v>
      </c>
    </row>
    <row r="36" spans="10:12" ht="14.25" customHeight="1" x14ac:dyDescent="0.3">
      <c r="J36" s="30"/>
      <c r="K36" s="21"/>
      <c r="L36" s="30"/>
    </row>
    <row r="37" spans="10:12" ht="18" customHeight="1" x14ac:dyDescent="0.35">
      <c r="J37" s="88" t="s">
        <v>235</v>
      </c>
      <c r="K37" s="88"/>
      <c r="L37" s="88"/>
    </row>
    <row r="38" spans="10:12" ht="14.25" customHeight="1" x14ac:dyDescent="0.3">
      <c r="J38" s="34" t="s">
        <v>171</v>
      </c>
      <c r="K38" s="11" t="s">
        <v>172</v>
      </c>
      <c r="L38" s="34" t="s">
        <v>170</v>
      </c>
    </row>
    <row r="39" spans="10:12" ht="14.25" customHeight="1" x14ac:dyDescent="0.3">
      <c r="J39" s="30">
        <v>1</v>
      </c>
      <c r="K39" s="21" t="s">
        <v>236</v>
      </c>
      <c r="L39" s="30">
        <v>8</v>
      </c>
    </row>
    <row r="40" spans="10:12" ht="14.25" customHeight="1" x14ac:dyDescent="0.3">
      <c r="J40" s="30">
        <v>2</v>
      </c>
      <c r="K40" s="21" t="s">
        <v>237</v>
      </c>
      <c r="L40" s="30">
        <v>4</v>
      </c>
    </row>
    <row r="41" spans="10:12" ht="14.25" customHeight="1" x14ac:dyDescent="0.3">
      <c r="J41" s="30"/>
      <c r="K41" s="21"/>
      <c r="L41" s="30"/>
    </row>
    <row r="42" spans="10:12" ht="18" customHeight="1" x14ac:dyDescent="0.35">
      <c r="J42" s="88" t="s">
        <v>238</v>
      </c>
      <c r="K42" s="88"/>
      <c r="L42" s="88"/>
    </row>
    <row r="43" spans="10:12" ht="14.25" customHeight="1" x14ac:dyDescent="0.3">
      <c r="J43" s="34" t="s">
        <v>171</v>
      </c>
      <c r="K43" s="11" t="s">
        <v>172</v>
      </c>
      <c r="L43" s="34" t="s">
        <v>170</v>
      </c>
    </row>
    <row r="44" spans="10:12" ht="14.25" customHeight="1" x14ac:dyDescent="0.3">
      <c r="J44" s="30">
        <v>1</v>
      </c>
      <c r="K44" s="21" t="s">
        <v>239</v>
      </c>
      <c r="L44" s="30">
        <v>1</v>
      </c>
    </row>
    <row r="45" spans="10:12" ht="14.25" customHeight="1" x14ac:dyDescent="0.3">
      <c r="J45" s="30">
        <v>2</v>
      </c>
      <c r="K45" s="21" t="s">
        <v>240</v>
      </c>
      <c r="L45" s="30">
        <v>1</v>
      </c>
    </row>
    <row r="46" spans="10:12" ht="18" customHeight="1" x14ac:dyDescent="0.35">
      <c r="J46" s="88" t="s">
        <v>191</v>
      </c>
      <c r="K46" s="88"/>
      <c r="L46" s="88"/>
    </row>
    <row r="47" spans="10:12" ht="14.25" customHeight="1" x14ac:dyDescent="0.3">
      <c r="J47" s="34" t="s">
        <v>171</v>
      </c>
      <c r="K47" s="11" t="s">
        <v>172</v>
      </c>
      <c r="L47" s="34" t="s">
        <v>170</v>
      </c>
    </row>
    <row r="48" spans="10:12" ht="14.25" customHeight="1" x14ac:dyDescent="0.3">
      <c r="J48" s="30">
        <v>1</v>
      </c>
      <c r="K48" s="21" t="s">
        <v>241</v>
      </c>
      <c r="L48" s="30">
        <v>4</v>
      </c>
    </row>
    <row r="49" spans="10:12" ht="14.25" customHeight="1" x14ac:dyDescent="0.3">
      <c r="J49" s="30"/>
      <c r="K49" s="21"/>
      <c r="L49" s="30"/>
    </row>
    <row r="50" spans="10:12" ht="18" customHeight="1" x14ac:dyDescent="0.35">
      <c r="J50" s="88" t="s">
        <v>242</v>
      </c>
      <c r="K50" s="88"/>
      <c r="L50" s="88"/>
    </row>
    <row r="51" spans="10:12" ht="18" customHeight="1" x14ac:dyDescent="0.35">
      <c r="J51" s="88" t="s">
        <v>243</v>
      </c>
      <c r="K51" s="88"/>
      <c r="L51" s="88"/>
    </row>
    <row r="52" spans="10:12" ht="14.25" customHeight="1" x14ac:dyDescent="0.3">
      <c r="J52" s="34" t="s">
        <v>171</v>
      </c>
      <c r="K52" s="11" t="s">
        <v>172</v>
      </c>
      <c r="L52" s="34" t="s">
        <v>170</v>
      </c>
    </row>
    <row r="53" spans="10:12" ht="14.25" customHeight="1" x14ac:dyDescent="0.3">
      <c r="J53" s="30">
        <v>1</v>
      </c>
      <c r="K53" s="21" t="s">
        <v>244</v>
      </c>
      <c r="L53" s="30">
        <v>1</v>
      </c>
    </row>
    <row r="54" spans="10:12" ht="14.25" customHeight="1" x14ac:dyDescent="0.3">
      <c r="J54" s="30">
        <v>2</v>
      </c>
      <c r="K54" s="21" t="s">
        <v>245</v>
      </c>
      <c r="L54" s="30">
        <v>1</v>
      </c>
    </row>
    <row r="55" spans="10:12" ht="14.25" customHeight="1" x14ac:dyDescent="0.3">
      <c r="J55" s="30"/>
      <c r="K55" s="21"/>
      <c r="L55" s="30"/>
    </row>
    <row r="56" spans="10:12" ht="18" customHeight="1" x14ac:dyDescent="0.35">
      <c r="J56" s="88" t="s">
        <v>246</v>
      </c>
      <c r="K56" s="88"/>
      <c r="L56" s="88"/>
    </row>
    <row r="57" spans="10:12" ht="14.25" customHeight="1" x14ac:dyDescent="0.3">
      <c r="J57" s="34" t="s">
        <v>171</v>
      </c>
      <c r="K57" s="11" t="s">
        <v>172</v>
      </c>
      <c r="L57" s="34" t="s">
        <v>170</v>
      </c>
    </row>
    <row r="58" spans="10:12" ht="14.25" customHeight="1" x14ac:dyDescent="0.3">
      <c r="J58" s="30">
        <v>1</v>
      </c>
      <c r="K58" s="21" t="s">
        <v>247</v>
      </c>
      <c r="L58" s="30">
        <v>4</v>
      </c>
    </row>
    <row r="59" spans="10:12" ht="14.25" customHeight="1" x14ac:dyDescent="0.3">
      <c r="J59" s="30"/>
      <c r="K59" s="21"/>
      <c r="L59" s="30"/>
    </row>
    <row r="60" spans="10:12" ht="18" customHeight="1" x14ac:dyDescent="0.35">
      <c r="J60" s="88" t="s">
        <v>248</v>
      </c>
      <c r="K60" s="88"/>
      <c r="L60" s="88"/>
    </row>
    <row r="61" spans="10:12" ht="14.25" customHeight="1" x14ac:dyDescent="0.3">
      <c r="J61" s="34" t="s">
        <v>171</v>
      </c>
      <c r="K61" s="11" t="s">
        <v>172</v>
      </c>
      <c r="L61" s="34" t="s">
        <v>170</v>
      </c>
    </row>
    <row r="62" spans="10:12" ht="14.25" customHeight="1" x14ac:dyDescent="0.3">
      <c r="J62" s="30">
        <v>1</v>
      </c>
      <c r="K62" s="21" t="s">
        <v>249</v>
      </c>
      <c r="L62" s="30">
        <v>1</v>
      </c>
    </row>
    <row r="63" spans="10:12" ht="14.25" customHeight="1" x14ac:dyDescent="0.3">
      <c r="J63" s="30">
        <v>2</v>
      </c>
      <c r="K63" s="21" t="s">
        <v>250</v>
      </c>
      <c r="L63" s="30">
        <v>1</v>
      </c>
    </row>
    <row r="64" spans="10:12" ht="14.25" customHeight="1" x14ac:dyDescent="0.3">
      <c r="J64" s="30">
        <v>3</v>
      </c>
      <c r="K64" s="21" t="s">
        <v>251</v>
      </c>
      <c r="L64" s="30">
        <v>3</v>
      </c>
    </row>
    <row r="65" spans="10:12" ht="14.25" customHeight="1" x14ac:dyDescent="0.3">
      <c r="J65" s="30">
        <v>4</v>
      </c>
      <c r="K65" s="21" t="s">
        <v>252</v>
      </c>
      <c r="L65" s="30">
        <v>1</v>
      </c>
    </row>
    <row r="66" spans="10:12" ht="14.25" customHeight="1" x14ac:dyDescent="0.3">
      <c r="J66" s="30"/>
      <c r="K66" s="21"/>
      <c r="L66" s="30"/>
    </row>
    <row r="67" spans="10:12" ht="18" customHeight="1" x14ac:dyDescent="0.35">
      <c r="J67" s="88" t="s">
        <v>253</v>
      </c>
      <c r="K67" s="88"/>
      <c r="L67" s="88"/>
    </row>
    <row r="68" spans="10:12" ht="14.25" customHeight="1" x14ac:dyDescent="0.3">
      <c r="J68" s="34" t="s">
        <v>171</v>
      </c>
      <c r="K68" s="11" t="s">
        <v>172</v>
      </c>
      <c r="L68" s="34" t="s">
        <v>170</v>
      </c>
    </row>
    <row r="69" spans="10:12" ht="14.25" customHeight="1" x14ac:dyDescent="0.3">
      <c r="J69" s="30">
        <v>1</v>
      </c>
      <c r="K69" s="21" t="s">
        <v>254</v>
      </c>
      <c r="L69" s="30">
        <v>2</v>
      </c>
    </row>
    <row r="70" spans="10:12" ht="14.25" customHeight="1" x14ac:dyDescent="0.3">
      <c r="J70" s="30">
        <v>2</v>
      </c>
      <c r="K70" s="21" t="s">
        <v>255</v>
      </c>
      <c r="L70" s="30">
        <v>1</v>
      </c>
    </row>
    <row r="71" spans="10:12" ht="14.25" customHeight="1" x14ac:dyDescent="0.3">
      <c r="J71" s="30">
        <v>3</v>
      </c>
      <c r="K71" s="21" t="s">
        <v>256</v>
      </c>
      <c r="L71" s="30">
        <v>1</v>
      </c>
    </row>
    <row r="72" spans="10:12" ht="14.25" customHeight="1" x14ac:dyDescent="0.3">
      <c r="J72" s="30">
        <v>4</v>
      </c>
      <c r="K72" s="21" t="s">
        <v>257</v>
      </c>
      <c r="L72" s="30">
        <v>1</v>
      </c>
    </row>
    <row r="73" spans="10:12" ht="14.25" customHeight="1" x14ac:dyDescent="0.3">
      <c r="J73" s="30">
        <v>5</v>
      </c>
      <c r="K73" s="21" t="s">
        <v>258</v>
      </c>
      <c r="L73" s="30">
        <v>1</v>
      </c>
    </row>
    <row r="74" spans="10:12" ht="14.25" customHeight="1" x14ac:dyDescent="0.3">
      <c r="J74" s="30">
        <v>6</v>
      </c>
      <c r="K74" s="21" t="s">
        <v>259</v>
      </c>
      <c r="L74" s="30">
        <v>1</v>
      </c>
    </row>
    <row r="75" spans="10:12" ht="14.25" customHeight="1" x14ac:dyDescent="0.3">
      <c r="J75" s="30">
        <v>7</v>
      </c>
      <c r="K75" s="21" t="s">
        <v>260</v>
      </c>
      <c r="L75" s="30">
        <v>5</v>
      </c>
    </row>
  </sheetData>
  <mergeCells count="16">
    <mergeCell ref="J67:L67"/>
    <mergeCell ref="J46:L46"/>
    <mergeCell ref="J50:L50"/>
    <mergeCell ref="J51:L51"/>
    <mergeCell ref="J56:L56"/>
    <mergeCell ref="J60:L60"/>
    <mergeCell ref="B18:D18"/>
    <mergeCell ref="J28:L28"/>
    <mergeCell ref="J32:L32"/>
    <mergeCell ref="J37:L37"/>
    <mergeCell ref="J42:L42"/>
    <mergeCell ref="B3:D3"/>
    <mergeCell ref="F3:H3"/>
    <mergeCell ref="J3:L3"/>
    <mergeCell ref="J9:L9"/>
    <mergeCell ref="J13:L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4" sqref="D4"/>
    </sheetView>
  </sheetViews>
  <sheetFormatPr defaultColWidth="8.6640625" defaultRowHeight="14.4" x14ac:dyDescent="0.3"/>
  <cols>
    <col min="1" max="1" width="16" customWidth="1"/>
    <col min="2" max="2" width="18.21875" customWidth="1"/>
    <col min="3" max="3" width="14.5546875" customWidth="1"/>
    <col min="4" max="4" width="17" customWidth="1"/>
    <col min="5" max="5" width="15.21875" customWidth="1"/>
    <col min="6" max="6" width="15.33203125" customWidth="1"/>
    <col min="7" max="7" width="14.77734375" customWidth="1"/>
    <col min="8" max="8" width="17" customWidth="1"/>
  </cols>
  <sheetData>
    <row r="1" spans="1:8" ht="14.25" customHeight="1" x14ac:dyDescent="0.3">
      <c r="A1" s="18" t="s">
        <v>34</v>
      </c>
      <c r="B1" s="18" t="s">
        <v>261</v>
      </c>
      <c r="C1" s="18" t="s">
        <v>262</v>
      </c>
      <c r="D1" s="18" t="s">
        <v>263</v>
      </c>
      <c r="E1" s="18" t="s">
        <v>264</v>
      </c>
      <c r="F1" s="18" t="s">
        <v>265</v>
      </c>
      <c r="G1" s="18" t="s">
        <v>42</v>
      </c>
      <c r="H1" s="18" t="s">
        <v>266</v>
      </c>
    </row>
    <row r="2" spans="1:8" ht="14.25" customHeight="1" x14ac:dyDescent="0.3">
      <c r="A2" s="21" t="s">
        <v>4</v>
      </c>
      <c r="B2" s="21">
        <f>VLOOKUP(A2,Master_Data!A:L,5,FALSE())</f>
        <v>362204.15999999997</v>
      </c>
      <c r="C2" s="21">
        <f>VLOOKUP(A2,Master_Data!A:L,6,FALSE())</f>
        <v>3500</v>
      </c>
      <c r="D2" s="21">
        <f>VLOOKUP(A2,Master_Data!A:L,7,FALSE())</f>
        <v>0</v>
      </c>
      <c r="E2" s="21">
        <f>VLOOKUP(A2,Master_Data!A:L,8,FALSE())</f>
        <v>5000</v>
      </c>
      <c r="F2" s="21">
        <f>VLOOKUP(A2,Master_Data!A:L,9,FALSE())</f>
        <v>4500</v>
      </c>
      <c r="G2" s="21">
        <f>VLOOKUP(A2,Master_Data!A:L,10,FALSE())</f>
        <v>375204.16</v>
      </c>
      <c r="H2" s="21">
        <f>VLOOKUP(A2,Master_Data!A:L,11,FALSE())</f>
        <v>0</v>
      </c>
    </row>
    <row r="3" spans="1:8" ht="14.25" customHeight="1" x14ac:dyDescent="0.3">
      <c r="A3" s="15" t="s">
        <v>48</v>
      </c>
      <c r="B3" s="21">
        <f>VLOOKUP(A3,Master_Data!A:L,5,FALSE())</f>
        <v>1771424.35</v>
      </c>
      <c r="C3" s="21">
        <f>VLOOKUP(A3,Master_Data!A:L,6,FALSE())</f>
        <v>168399.09999999998</v>
      </c>
      <c r="D3" s="21">
        <f>VLOOKUP(A3,Master_Data!A:L,7,FALSE())</f>
        <v>76697</v>
      </c>
      <c r="E3" s="21">
        <f>VLOOKUP(A3,Master_Data!A:L,8,FALSE())</f>
        <v>38040</v>
      </c>
      <c r="F3" s="21">
        <f>VLOOKUP(A3,Master_Data!A:L,9,FALSE())</f>
        <v>10500</v>
      </c>
      <c r="G3" s="21">
        <f>VLOOKUP(A3,Master_Data!A:L,10,FALSE())</f>
        <v>2065060.4500000002</v>
      </c>
      <c r="H3" s="21">
        <f>VLOOKUP(A3,Master_Data!A:L,11,FALSE())</f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"/>
  <sheetViews>
    <sheetView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C11" sqref="C11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5" customWidth="1"/>
    <col min="4" max="4" width="13" customWidth="1"/>
    <col min="5" max="5" width="17" customWidth="1"/>
    <col min="6" max="6" width="20" customWidth="1"/>
    <col min="7" max="7" width="8" customWidth="1"/>
    <col min="8" max="8" width="13" customWidth="1"/>
    <col min="9" max="9" width="7" customWidth="1"/>
    <col min="10" max="10" width="8" customWidth="1"/>
  </cols>
  <sheetData>
    <row r="1" spans="1:10" ht="14.25" customHeight="1" x14ac:dyDescent="0.3">
      <c r="A1" s="18" t="s">
        <v>267</v>
      </c>
      <c r="B1" s="18" t="s">
        <v>34</v>
      </c>
      <c r="C1" s="18" t="s">
        <v>268</v>
      </c>
      <c r="D1" s="18" t="s">
        <v>269</v>
      </c>
      <c r="E1" s="18" t="s">
        <v>270</v>
      </c>
      <c r="F1" s="18" t="s">
        <v>271</v>
      </c>
      <c r="G1" s="18" t="s">
        <v>272</v>
      </c>
      <c r="H1" s="18" t="s">
        <v>273</v>
      </c>
      <c r="I1" s="18" t="s">
        <v>274</v>
      </c>
      <c r="J1" s="18" t="s">
        <v>275</v>
      </c>
    </row>
    <row r="2" spans="1:10" ht="14.25" customHeight="1" x14ac:dyDescent="0.3">
      <c r="A2" s="21" t="s">
        <v>276</v>
      </c>
      <c r="B2" s="21" t="s">
        <v>4</v>
      </c>
      <c r="C2" s="21">
        <v>371704.16</v>
      </c>
      <c r="D2" s="21"/>
      <c r="E2" s="21">
        <f>D2-C2</f>
        <v>-371704.16</v>
      </c>
      <c r="F2" s="21">
        <f>IFERROR(E2/C2,"")</f>
        <v>-1</v>
      </c>
      <c r="G2" s="21"/>
      <c r="H2" s="21"/>
      <c r="I2" s="21"/>
      <c r="J2" s="21"/>
    </row>
    <row r="3" spans="1:10" ht="14.25" customHeight="1" x14ac:dyDescent="0.3">
      <c r="A3" s="21" t="s">
        <v>277</v>
      </c>
      <c r="B3" s="15" t="s">
        <v>48</v>
      </c>
      <c r="C3" s="21"/>
      <c r="D3" s="21"/>
      <c r="E3" s="21"/>
      <c r="F3" s="21"/>
      <c r="G3" s="21"/>
      <c r="H3" s="21"/>
      <c r="I3" s="21"/>
      <c r="J3" s="21"/>
    </row>
  </sheetData>
  <dataValidations count="1">
    <dataValidation type="list" allowBlank="1" sqref="J2:J500" xr:uid="{00000000-0002-0000-0800-000000000000}">
      <formula1>"Open,Closed,In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"/>
  <sheetViews>
    <sheetView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8" sqref="D8"/>
    </sheetView>
  </sheetViews>
  <sheetFormatPr defaultColWidth="8.6640625" defaultRowHeight="14.4" x14ac:dyDescent="0.3"/>
  <cols>
    <col min="1" max="1" width="22" customWidth="1"/>
    <col min="2" max="2" width="14" customWidth="1"/>
    <col min="3" max="4" width="12.77734375" customWidth="1"/>
    <col min="5" max="5" width="13.33203125" customWidth="1"/>
    <col min="6" max="6" width="15.21875" customWidth="1"/>
    <col min="7" max="7" width="12" customWidth="1"/>
    <col min="8" max="8" width="10" customWidth="1"/>
    <col min="9" max="9" width="7" customWidth="1"/>
    <col min="10" max="10" width="8" customWidth="1"/>
    <col min="11" max="11" width="9" customWidth="1"/>
  </cols>
  <sheetData>
    <row r="1" spans="1:11" ht="14.25" customHeight="1" x14ac:dyDescent="0.3">
      <c r="A1" s="20" t="s">
        <v>278</v>
      </c>
      <c r="B1" s="20" t="s">
        <v>34</v>
      </c>
      <c r="C1" s="20" t="s">
        <v>279</v>
      </c>
      <c r="D1" s="20" t="s">
        <v>280</v>
      </c>
      <c r="E1" s="20" t="s">
        <v>281</v>
      </c>
      <c r="F1" s="20" t="s">
        <v>282</v>
      </c>
      <c r="G1" s="20" t="s">
        <v>283</v>
      </c>
      <c r="H1" s="20" t="s">
        <v>284</v>
      </c>
      <c r="I1" s="20" t="s">
        <v>274</v>
      </c>
      <c r="J1" s="20" t="s">
        <v>275</v>
      </c>
      <c r="K1" s="20" t="s">
        <v>53</v>
      </c>
    </row>
    <row r="2" spans="1:11" ht="14.25" customHeight="1" x14ac:dyDescent="0.3">
      <c r="A2" t="s">
        <v>285</v>
      </c>
      <c r="B2" t="s">
        <v>4</v>
      </c>
      <c r="C2" s="16">
        <v>469000</v>
      </c>
      <c r="D2" s="16">
        <v>580000</v>
      </c>
      <c r="E2" s="16">
        <f>C2-D2</f>
        <v>-111000</v>
      </c>
      <c r="F2">
        <f>IFERROR(E2/C2,"")</f>
        <v>-0.23667377398720682</v>
      </c>
    </row>
  </sheetData>
  <dataValidations count="1">
    <dataValidation type="list" allowBlank="1" sqref="J2:J500" xr:uid="{00000000-0002-0000-0900-000000000000}">
      <formula1>"Open,Closed,In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49"/>
  <sheetViews>
    <sheetView zoomScaleNormal="100" workbookViewId="0">
      <selection activeCell="F10" sqref="F10"/>
    </sheetView>
  </sheetViews>
  <sheetFormatPr defaultColWidth="8.6640625" defaultRowHeight="14.4" x14ac:dyDescent="0.3"/>
  <cols>
    <col min="2" max="2" width="42.44140625" customWidth="1"/>
    <col min="3" max="3" width="28.5546875" customWidth="1"/>
    <col min="4" max="4" width="28.33203125" customWidth="1"/>
    <col min="6" max="6" width="46" customWidth="1"/>
  </cols>
  <sheetData>
    <row r="1" spans="2:6" ht="18" customHeight="1" x14ac:dyDescent="0.3">
      <c r="B1" t="s">
        <v>286</v>
      </c>
      <c r="F1" s="47" t="s">
        <v>287</v>
      </c>
    </row>
    <row r="2" spans="2:6" ht="14.25" customHeight="1" x14ac:dyDescent="0.3">
      <c r="B2" t="s">
        <v>288</v>
      </c>
      <c r="F2" s="48" t="s">
        <v>289</v>
      </c>
    </row>
    <row r="3" spans="2:6" ht="18" customHeight="1" x14ac:dyDescent="0.3">
      <c r="B3" t="s">
        <v>290</v>
      </c>
      <c r="F3" s="47" t="s">
        <v>291</v>
      </c>
    </row>
    <row r="4" spans="2:6" ht="14.25" customHeight="1" x14ac:dyDescent="0.3">
      <c r="B4" t="s">
        <v>288</v>
      </c>
      <c r="F4" s="48" t="s">
        <v>292</v>
      </c>
    </row>
    <row r="5" spans="2:6" ht="14.25" customHeight="1" x14ac:dyDescent="0.3">
      <c r="B5" t="s">
        <v>293</v>
      </c>
      <c r="F5" s="48" t="s">
        <v>294</v>
      </c>
    </row>
    <row r="6" spans="2:6" ht="18" customHeight="1" x14ac:dyDescent="0.3">
      <c r="B6" t="s">
        <v>288</v>
      </c>
      <c r="F6" s="47" t="s">
        <v>295</v>
      </c>
    </row>
    <row r="7" spans="2:6" ht="14.25" customHeight="1" x14ac:dyDescent="0.3">
      <c r="B7" t="s">
        <v>296</v>
      </c>
      <c r="F7" s="48" t="s">
        <v>297</v>
      </c>
    </row>
    <row r="8" spans="2:6" ht="14.25" customHeight="1" x14ac:dyDescent="0.3">
      <c r="B8" t="s">
        <v>288</v>
      </c>
      <c r="F8" s="48" t="s">
        <v>298</v>
      </c>
    </row>
    <row r="9" spans="2:6" ht="18" customHeight="1" x14ac:dyDescent="0.3">
      <c r="B9" t="s">
        <v>299</v>
      </c>
      <c r="F9" s="47" t="s">
        <v>300</v>
      </c>
    </row>
    <row r="10" spans="2:6" ht="14.25" customHeight="1" x14ac:dyDescent="0.3">
      <c r="B10" t="s">
        <v>288</v>
      </c>
      <c r="F10" s="48" t="s">
        <v>301</v>
      </c>
    </row>
    <row r="11" spans="2:6" ht="14.25" customHeight="1" x14ac:dyDescent="0.3">
      <c r="B11" t="s">
        <v>302</v>
      </c>
      <c r="F11" s="48" t="s">
        <v>303</v>
      </c>
    </row>
    <row r="12" spans="2:6" ht="14.25" customHeight="1" x14ac:dyDescent="0.3">
      <c r="B12" t="s">
        <v>288</v>
      </c>
    </row>
    <row r="13" spans="2:6" ht="14.25" customHeight="1" x14ac:dyDescent="0.3">
      <c r="B13" t="s">
        <v>304</v>
      </c>
    </row>
    <row r="15" spans="2:6" ht="14.25" customHeight="1" x14ac:dyDescent="0.3">
      <c r="B15" s="49" t="s">
        <v>305</v>
      </c>
      <c r="C15" s="49" t="s">
        <v>306</v>
      </c>
      <c r="D15" s="49" t="s">
        <v>307</v>
      </c>
    </row>
    <row r="16" spans="2:6" ht="15" customHeight="1" x14ac:dyDescent="0.3">
      <c r="B16" s="42" t="s">
        <v>308</v>
      </c>
      <c r="C16" s="50" t="s">
        <v>309</v>
      </c>
      <c r="D16" s="51" t="s">
        <v>310</v>
      </c>
      <c r="F16" s="48"/>
    </row>
    <row r="17" spans="2:4" ht="15" customHeight="1" x14ac:dyDescent="0.3">
      <c r="B17" s="25" t="s">
        <v>311</v>
      </c>
      <c r="C17" s="52" t="s">
        <v>312</v>
      </c>
      <c r="D17" s="25" t="s">
        <v>313</v>
      </c>
    </row>
    <row r="18" spans="2:4" ht="15" customHeight="1" x14ac:dyDescent="0.3">
      <c r="B18" s="25" t="s">
        <v>314</v>
      </c>
      <c r="C18" s="52" t="s">
        <v>315</v>
      </c>
      <c r="D18" s="25" t="s">
        <v>316</v>
      </c>
    </row>
    <row r="19" spans="2:4" ht="15" customHeight="1" x14ac:dyDescent="0.3">
      <c r="B19" s="25" t="s">
        <v>317</v>
      </c>
      <c r="C19" s="52" t="s">
        <v>318</v>
      </c>
      <c r="D19" s="25" t="s">
        <v>319</v>
      </c>
    </row>
    <row r="20" spans="2:4" ht="15" customHeight="1" x14ac:dyDescent="0.3">
      <c r="B20" s="25" t="s">
        <v>320</v>
      </c>
      <c r="C20" s="52" t="s">
        <v>321</v>
      </c>
      <c r="D20" s="25" t="s">
        <v>322</v>
      </c>
    </row>
    <row r="21" spans="2:4" ht="15" customHeight="1" x14ac:dyDescent="0.3">
      <c r="B21" s="25" t="s">
        <v>323</v>
      </c>
      <c r="C21" s="52" t="s">
        <v>324</v>
      </c>
      <c r="D21" s="25" t="s">
        <v>325</v>
      </c>
    </row>
    <row r="23" spans="2:4" ht="15" customHeight="1" x14ac:dyDescent="0.3">
      <c r="B23" s="21" t="s">
        <v>326</v>
      </c>
      <c r="C23" s="52" t="s">
        <v>327</v>
      </c>
      <c r="D23" s="25" t="s">
        <v>328</v>
      </c>
    </row>
    <row r="24" spans="2:4" ht="15" customHeight="1" x14ac:dyDescent="0.3">
      <c r="C24" s="52" t="s">
        <v>329</v>
      </c>
      <c r="D24" s="25" t="s">
        <v>330</v>
      </c>
    </row>
    <row r="25" spans="2:4" ht="15" customHeight="1" x14ac:dyDescent="0.3">
      <c r="C25" s="52" t="s">
        <v>331</v>
      </c>
      <c r="D25" s="25" t="s">
        <v>332</v>
      </c>
    </row>
    <row r="26" spans="2:4" ht="15" customHeight="1" x14ac:dyDescent="0.3">
      <c r="C26" s="53" t="s">
        <v>333</v>
      </c>
      <c r="D26" s="54" t="s">
        <v>334</v>
      </c>
    </row>
    <row r="27" spans="2:4" ht="15" customHeight="1" x14ac:dyDescent="0.3">
      <c r="B27" s="21" t="s">
        <v>335</v>
      </c>
      <c r="C27" s="52" t="s">
        <v>336</v>
      </c>
      <c r="D27" s="25" t="s">
        <v>337</v>
      </c>
    </row>
    <row r="28" spans="2:4" ht="15" customHeight="1" x14ac:dyDescent="0.3">
      <c r="C28" s="52" t="s">
        <v>338</v>
      </c>
      <c r="D28" s="25" t="s">
        <v>339</v>
      </c>
    </row>
    <row r="29" spans="2:4" ht="15" customHeight="1" x14ac:dyDescent="0.3">
      <c r="C29" s="52" t="s">
        <v>340</v>
      </c>
      <c r="D29" s="25" t="s">
        <v>341</v>
      </c>
    </row>
    <row r="31" spans="2:4" ht="15" customHeight="1" x14ac:dyDescent="0.3">
      <c r="B31" s="21" t="s">
        <v>342</v>
      </c>
      <c r="C31" s="52" t="s">
        <v>343</v>
      </c>
      <c r="D31" s="25" t="s">
        <v>344</v>
      </c>
    </row>
    <row r="32" spans="2:4" ht="15" customHeight="1" x14ac:dyDescent="0.3">
      <c r="C32" s="52" t="s">
        <v>345</v>
      </c>
      <c r="D32" s="25" t="s">
        <v>346</v>
      </c>
    </row>
    <row r="33" spans="2:4" ht="15" customHeight="1" x14ac:dyDescent="0.3">
      <c r="C33" s="52" t="s">
        <v>347</v>
      </c>
      <c r="D33" s="25" t="s">
        <v>348</v>
      </c>
    </row>
    <row r="35" spans="2:4" ht="15" customHeight="1" x14ac:dyDescent="0.3">
      <c r="B35" s="21" t="s">
        <v>349</v>
      </c>
      <c r="C35" s="52" t="s">
        <v>350</v>
      </c>
      <c r="D35" s="25" t="s">
        <v>351</v>
      </c>
    </row>
    <row r="36" spans="2:4" ht="15" customHeight="1" x14ac:dyDescent="0.3">
      <c r="C36" s="52" t="s">
        <v>352</v>
      </c>
      <c r="D36" s="25" t="s">
        <v>353</v>
      </c>
    </row>
    <row r="37" spans="2:4" ht="15" customHeight="1" x14ac:dyDescent="0.3">
      <c r="C37" s="52" t="s">
        <v>354</v>
      </c>
      <c r="D37" s="25" t="s">
        <v>355</v>
      </c>
    </row>
    <row r="38" spans="2:4" ht="15" customHeight="1" x14ac:dyDescent="0.3">
      <c r="C38" s="52" t="s">
        <v>356</v>
      </c>
      <c r="D38" s="25" t="s">
        <v>357</v>
      </c>
    </row>
    <row r="40" spans="2:4" ht="15" customHeight="1" x14ac:dyDescent="0.3">
      <c r="B40" s="21" t="s">
        <v>358</v>
      </c>
      <c r="C40" s="52" t="s">
        <v>359</v>
      </c>
      <c r="D40" s="25" t="s">
        <v>360</v>
      </c>
    </row>
    <row r="41" spans="2:4" ht="15" customHeight="1" x14ac:dyDescent="0.3">
      <c r="C41" s="52" t="s">
        <v>361</v>
      </c>
      <c r="D41" s="25" t="s">
        <v>362</v>
      </c>
    </row>
    <row r="42" spans="2:4" ht="15" customHeight="1" x14ac:dyDescent="0.3">
      <c r="C42" s="52" t="s">
        <v>363</v>
      </c>
      <c r="D42" s="25" t="s">
        <v>364</v>
      </c>
    </row>
    <row r="43" spans="2:4" ht="15" customHeight="1" x14ac:dyDescent="0.3">
      <c r="C43" s="52" t="s">
        <v>365</v>
      </c>
      <c r="D43" s="25" t="s">
        <v>366</v>
      </c>
    </row>
    <row r="45" spans="2:4" ht="15" customHeight="1" x14ac:dyDescent="0.3">
      <c r="B45" s="21" t="s">
        <v>367</v>
      </c>
      <c r="C45" s="52" t="s">
        <v>368</v>
      </c>
      <c r="D45" s="25" t="s">
        <v>369</v>
      </c>
    </row>
    <row r="47" spans="2:4" ht="15" customHeight="1" x14ac:dyDescent="0.3">
      <c r="B47" s="21" t="s">
        <v>370</v>
      </c>
      <c r="C47" s="52" t="s">
        <v>371</v>
      </c>
      <c r="D47" s="25" t="s">
        <v>372</v>
      </c>
    </row>
    <row r="48" spans="2:4" ht="15" customHeight="1" x14ac:dyDescent="0.3">
      <c r="C48" s="52" t="s">
        <v>373</v>
      </c>
      <c r="D48" s="25" t="s">
        <v>374</v>
      </c>
    </row>
    <row r="49" spans="3:4" ht="15" customHeight="1" x14ac:dyDescent="0.3">
      <c r="C49" s="52" t="s">
        <v>375</v>
      </c>
      <c r="D49" s="25" t="s">
        <v>376</v>
      </c>
    </row>
  </sheetData>
  <autoFilter ref="B15:D49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"/>
  <sheetViews>
    <sheetView zoomScaleNormal="100" workbookViewId="0"/>
  </sheetViews>
  <sheetFormatPr defaultColWidth="8.6640625" defaultRowHeight="14.4" x14ac:dyDescent="0.3"/>
  <cols>
    <col min="1" max="10" width="28" customWidth="1"/>
  </cols>
  <sheetData>
    <row r="1" spans="1:10" ht="14.25" customHeight="1" x14ac:dyDescent="0.3">
      <c r="A1" s="55" t="s">
        <v>377</v>
      </c>
      <c r="B1" s="55" t="s">
        <v>378</v>
      </c>
      <c r="C1" s="55" t="s">
        <v>113</v>
      </c>
      <c r="D1" s="55" t="s">
        <v>15</v>
      </c>
      <c r="E1" s="55" t="s">
        <v>19</v>
      </c>
      <c r="F1" s="55" t="s">
        <v>379</v>
      </c>
      <c r="G1" s="55" t="s">
        <v>380</v>
      </c>
      <c r="H1" s="55" t="s">
        <v>381</v>
      </c>
      <c r="I1" s="55" t="s">
        <v>382</v>
      </c>
      <c r="J1" s="55" t="s">
        <v>53</v>
      </c>
    </row>
    <row r="2" spans="1:10" ht="14.25" customHeight="1" x14ac:dyDescent="0.3">
      <c r="A2" t="s">
        <v>383</v>
      </c>
      <c r="B2" t="s">
        <v>384</v>
      </c>
      <c r="C2" t="s">
        <v>385</v>
      </c>
      <c r="D2" t="s">
        <v>386</v>
      </c>
      <c r="E2" t="s">
        <v>387</v>
      </c>
      <c r="F2">
        <v>359019</v>
      </c>
      <c r="G2">
        <v>450000</v>
      </c>
      <c r="H2">
        <f>G2-F2</f>
        <v>90981</v>
      </c>
      <c r="I2">
        <f>H2/G2</f>
        <v>0.20218</v>
      </c>
      <c r="J2" t="s">
        <v>388</v>
      </c>
    </row>
    <row r="3" spans="1:10" ht="14.25" customHeight="1" x14ac:dyDescent="0.3">
      <c r="A3" t="s">
        <v>383</v>
      </c>
      <c r="B3" t="s">
        <v>384</v>
      </c>
      <c r="C3" t="s">
        <v>389</v>
      </c>
      <c r="D3" t="s">
        <v>390</v>
      </c>
      <c r="E3" t="s">
        <v>391</v>
      </c>
      <c r="F3">
        <v>285000</v>
      </c>
      <c r="G3">
        <v>360000</v>
      </c>
      <c r="H3">
        <f>G3-F3</f>
        <v>75000</v>
      </c>
      <c r="I3">
        <f>H3/G3</f>
        <v>0.20833333333333334</v>
      </c>
      <c r="J3" t="s">
        <v>392</v>
      </c>
    </row>
    <row r="4" spans="1:10" ht="14.25" customHeight="1" x14ac:dyDescent="0.3">
      <c r="A4" t="s">
        <v>383</v>
      </c>
      <c r="B4" t="s">
        <v>384</v>
      </c>
      <c r="C4" t="s">
        <v>393</v>
      </c>
      <c r="D4" t="s">
        <v>394</v>
      </c>
      <c r="E4" t="s">
        <v>395</v>
      </c>
      <c r="F4">
        <v>175000</v>
      </c>
      <c r="G4">
        <v>230000</v>
      </c>
      <c r="H4">
        <f>G4-F4</f>
        <v>55000</v>
      </c>
      <c r="I4">
        <f>H4/G4</f>
        <v>0.2391304347826087</v>
      </c>
      <c r="J4" t="s">
        <v>396</v>
      </c>
    </row>
    <row r="5" spans="1:10" ht="14.25" customHeight="1" x14ac:dyDescent="0.3">
      <c r="A5" t="s">
        <v>383</v>
      </c>
      <c r="B5" t="s">
        <v>384</v>
      </c>
      <c r="C5" t="s">
        <v>397</v>
      </c>
      <c r="D5" t="s">
        <v>394</v>
      </c>
      <c r="E5" t="s">
        <v>398</v>
      </c>
      <c r="F5">
        <v>15000</v>
      </c>
      <c r="G5">
        <v>25000</v>
      </c>
      <c r="H5">
        <f>G5-F5</f>
        <v>10000</v>
      </c>
      <c r="I5">
        <f>H5/G5</f>
        <v>0.4</v>
      </c>
      <c r="J5" t="s">
        <v>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2"/>
  <sheetViews>
    <sheetView zoomScaleNormal="100" workbookViewId="0"/>
  </sheetViews>
  <sheetFormatPr defaultColWidth="8.6640625" defaultRowHeight="14.4" x14ac:dyDescent="0.3"/>
  <cols>
    <col min="1" max="1" width="80" customWidth="1"/>
  </cols>
  <sheetData>
    <row r="1" spans="1:1" ht="18" customHeight="1" x14ac:dyDescent="0.35">
      <c r="A1" s="56" t="s">
        <v>400</v>
      </c>
    </row>
    <row r="3" spans="1:1" ht="14.25" customHeight="1" x14ac:dyDescent="0.3">
      <c r="A3" t="s">
        <v>401</v>
      </c>
    </row>
    <row r="4" spans="1:1" ht="14.25" customHeight="1" x14ac:dyDescent="0.3">
      <c r="A4" t="s">
        <v>402</v>
      </c>
    </row>
    <row r="5" spans="1:1" ht="14.25" customHeight="1" x14ac:dyDescent="0.3">
      <c r="A5" t="s">
        <v>403</v>
      </c>
    </row>
    <row r="6" spans="1:1" ht="14.25" customHeight="1" x14ac:dyDescent="0.3">
      <c r="A6" t="s">
        <v>404</v>
      </c>
    </row>
    <row r="7" spans="1:1" ht="14.25" customHeight="1" x14ac:dyDescent="0.3">
      <c r="A7" t="s">
        <v>405</v>
      </c>
    </row>
    <row r="8" spans="1:1" ht="14.25" customHeight="1" x14ac:dyDescent="0.3">
      <c r="A8" t="s">
        <v>406</v>
      </c>
    </row>
    <row r="9" spans="1:1" ht="14.25" customHeight="1" x14ac:dyDescent="0.3">
      <c r="A9" t="s">
        <v>407</v>
      </c>
    </row>
    <row r="10" spans="1:1" ht="14.25" customHeight="1" x14ac:dyDescent="0.3">
      <c r="A10" t="s">
        <v>408</v>
      </c>
    </row>
    <row r="11" spans="1:1" ht="14.25" customHeight="1" x14ac:dyDescent="0.3">
      <c r="A11" t="s">
        <v>409</v>
      </c>
    </row>
    <row r="12" spans="1:1" ht="14.25" customHeight="1" x14ac:dyDescent="0.3">
      <c r="A12" t="s">
        <v>410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"/>
  <sheetViews>
    <sheetView zoomScaleNormal="100" workbookViewId="0"/>
  </sheetViews>
  <sheetFormatPr defaultColWidth="8.6640625" defaultRowHeight="14.4" x14ac:dyDescent="0.3"/>
  <cols>
    <col min="1" max="4" width="28" customWidth="1"/>
  </cols>
  <sheetData>
    <row r="1" spans="1:4" ht="14.25" customHeight="1" x14ac:dyDescent="0.3">
      <c r="A1" s="55" t="s">
        <v>411</v>
      </c>
      <c r="B1" s="55" t="s">
        <v>412</v>
      </c>
      <c r="C1" s="55" t="s">
        <v>413</v>
      </c>
      <c r="D1" s="55" t="s">
        <v>275</v>
      </c>
    </row>
    <row r="2" spans="1:4" ht="14.25" customHeight="1" x14ac:dyDescent="0.3">
      <c r="A2" t="s">
        <v>382</v>
      </c>
      <c r="B2" t="s">
        <v>414</v>
      </c>
      <c r="C2" t="s">
        <v>415</v>
      </c>
      <c r="D2" t="s">
        <v>416</v>
      </c>
    </row>
    <row r="3" spans="1:4" ht="14.25" customHeight="1" x14ac:dyDescent="0.3">
      <c r="A3" t="s">
        <v>417</v>
      </c>
      <c r="B3" t="s">
        <v>418</v>
      </c>
      <c r="C3" t="s">
        <v>419</v>
      </c>
      <c r="D3" t="s">
        <v>420</v>
      </c>
    </row>
    <row r="4" spans="1:4" ht="14.25" customHeight="1" x14ac:dyDescent="0.3">
      <c r="A4" t="s">
        <v>421</v>
      </c>
      <c r="B4" t="s">
        <v>422</v>
      </c>
      <c r="C4" t="s">
        <v>423</v>
      </c>
      <c r="D4" t="s">
        <v>424</v>
      </c>
    </row>
    <row r="5" spans="1:4" ht="14.25" customHeight="1" x14ac:dyDescent="0.3">
      <c r="A5" t="s">
        <v>425</v>
      </c>
      <c r="B5" t="s">
        <v>426</v>
      </c>
      <c r="C5" t="s">
        <v>427</v>
      </c>
      <c r="D5" t="s">
        <v>428</v>
      </c>
    </row>
    <row r="6" spans="1:4" ht="14.25" customHeight="1" x14ac:dyDescent="0.3">
      <c r="A6" t="s">
        <v>429</v>
      </c>
      <c r="B6" t="s">
        <v>430</v>
      </c>
      <c r="C6" t="s">
        <v>431</v>
      </c>
      <c r="D6" t="s">
        <v>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0"/>
  <sheetViews>
    <sheetView zoomScaleNormal="100" workbookViewId="0"/>
  </sheetViews>
  <sheetFormatPr defaultColWidth="8.6640625" defaultRowHeight="14.4" x14ac:dyDescent="0.3"/>
  <sheetData>
    <row r="1" spans="1:1" ht="15" customHeight="1" x14ac:dyDescent="0.3">
      <c r="A1" t="str">
        <f ca="1">IFERROR(_xludf.aggregate(15,6,(ROW(BOM_Costing!$A$2:$A$198))*(BOM_Costing!$A$2:$A$198=Dashboard!$B$5),1),"")</f>
        <v/>
      </c>
    </row>
    <row r="2" spans="1:1" ht="15" customHeight="1" x14ac:dyDescent="0.3">
      <c r="A2" t="str">
        <f ca="1">IFERROR(_xludf.aggregate(15,6,(ROW(BOM_Costing!$A$2:$A$198))*(BOM_Costing!$A$2:$A$198=Dashboard!$B$5),2),"")</f>
        <v/>
      </c>
    </row>
    <row r="3" spans="1:1" ht="15" customHeight="1" x14ac:dyDescent="0.3">
      <c r="A3" t="str">
        <f ca="1">IFERROR(_xludf.aggregate(15,6,(ROW(BOM_Costing!$A$2:$A$198))*(BOM_Costing!$A$2:$A$198=Dashboard!$B$5),3),"")</f>
        <v/>
      </c>
    </row>
    <row r="4" spans="1:1" ht="15" customHeight="1" x14ac:dyDescent="0.3">
      <c r="A4" t="str">
        <f ca="1">IFERROR(_xludf.aggregate(15,6,(ROW(BOM_Costing!$A$2:$A$198))*(BOM_Costing!$A$2:$A$198=Dashboard!$B$5),4),"")</f>
        <v/>
      </c>
    </row>
    <row r="5" spans="1:1" ht="15" customHeight="1" x14ac:dyDescent="0.3">
      <c r="A5" t="str">
        <f ca="1">IFERROR(_xludf.aggregate(15,6,(ROW(BOM_Costing!$A$2:$A$198))*(BOM_Costing!$A$2:$A$198=Dashboard!$B$5),5),"")</f>
        <v/>
      </c>
    </row>
    <row r="6" spans="1:1" ht="15" customHeight="1" x14ac:dyDescent="0.3">
      <c r="A6" t="str">
        <f ca="1">IFERROR(_xludf.aggregate(15,6,(ROW(BOM_Costing!$A$2:$A$198))*(BOM_Costing!$A$2:$A$198=Dashboard!$B$5),6),"")</f>
        <v/>
      </c>
    </row>
    <row r="7" spans="1:1" ht="15" customHeight="1" x14ac:dyDescent="0.3">
      <c r="A7" t="str">
        <f ca="1">IFERROR(_xludf.aggregate(15,6,(ROW(BOM_Costing!$A$2:$A$198))*(BOM_Costing!$A$2:$A$198=Dashboard!$B$5),7),"")</f>
        <v/>
      </c>
    </row>
    <row r="8" spans="1:1" ht="15" customHeight="1" x14ac:dyDescent="0.3">
      <c r="A8" t="str">
        <f ca="1">IFERROR(_xludf.aggregate(15,6,(ROW(BOM_Costing!$A$2:$A$198))*(BOM_Costing!$A$2:$A$198=Dashboard!$B$5),8),"")</f>
        <v/>
      </c>
    </row>
    <row r="9" spans="1:1" ht="15" customHeight="1" x14ac:dyDescent="0.3">
      <c r="A9" t="str">
        <f ca="1">IFERROR(_xludf.aggregate(15,6,(ROW(BOM_Costing!$A$2:$A$198))*(BOM_Costing!$A$2:$A$198=Dashboard!$B$5),9),"")</f>
        <v/>
      </c>
    </row>
    <row r="10" spans="1:1" ht="15" customHeight="1" x14ac:dyDescent="0.3">
      <c r="A10" t="str">
        <f ca="1">IFERROR(_xludf.aggregate(15,6,(ROW(BOM_Costing!$A$2:$A$198))*(BOM_Costing!$A$2:$A$198=Dashboard!$B$5),10),"")</f>
        <v/>
      </c>
    </row>
    <row r="11" spans="1:1" ht="15" customHeight="1" x14ac:dyDescent="0.3">
      <c r="A11" t="str">
        <f ca="1">IFERROR(_xludf.aggregate(15,6,(ROW(BOM_Costing!$A$2:$A$198))*(BOM_Costing!$A$2:$A$198=Dashboard!$B$5),11),"")</f>
        <v/>
      </c>
    </row>
    <row r="12" spans="1:1" ht="15" customHeight="1" x14ac:dyDescent="0.3">
      <c r="A12" t="str">
        <f ca="1">IFERROR(_xludf.aggregate(15,6,(ROW(BOM_Costing!$A$2:$A$198))*(BOM_Costing!$A$2:$A$198=Dashboard!$B$5),12),"")</f>
        <v/>
      </c>
    </row>
    <row r="13" spans="1:1" ht="15" customHeight="1" x14ac:dyDescent="0.3">
      <c r="A13" t="str">
        <f ca="1">IFERROR(_xludf.aggregate(15,6,(ROW(BOM_Costing!$A$2:$A$198))*(BOM_Costing!$A$2:$A$198=Dashboard!$B$5),13),"")</f>
        <v/>
      </c>
    </row>
    <row r="14" spans="1:1" ht="15" customHeight="1" x14ac:dyDescent="0.3">
      <c r="A14" t="str">
        <f ca="1">IFERROR(_xludf.aggregate(15,6,(ROW(BOM_Costing!$A$2:$A$198))*(BOM_Costing!$A$2:$A$198=Dashboard!$B$5),14),"")</f>
        <v/>
      </c>
    </row>
    <row r="15" spans="1:1" ht="15" customHeight="1" x14ac:dyDescent="0.3">
      <c r="A15" t="str">
        <f ca="1">IFERROR(_xludf.aggregate(15,6,(ROW(BOM_Costing!$A$2:$A$198))*(BOM_Costing!$A$2:$A$198=Dashboard!$B$5),15),"")</f>
        <v/>
      </c>
    </row>
    <row r="16" spans="1:1" ht="15" customHeight="1" x14ac:dyDescent="0.3">
      <c r="A16" t="str">
        <f ca="1">IFERROR(_xludf.aggregate(15,6,(ROW(BOM_Costing!$A$2:$A$198))*(BOM_Costing!$A$2:$A$198=Dashboard!$B$5),16),"")</f>
        <v/>
      </c>
    </row>
    <row r="17" spans="1:1" ht="15" customHeight="1" x14ac:dyDescent="0.3">
      <c r="A17" t="str">
        <f ca="1">IFERROR(_xludf.aggregate(15,6,(ROW(BOM_Costing!$A$2:$A$198))*(BOM_Costing!$A$2:$A$198=Dashboard!$B$5),17),"")</f>
        <v/>
      </c>
    </row>
    <row r="18" spans="1:1" ht="15" customHeight="1" x14ac:dyDescent="0.3">
      <c r="A18" t="str">
        <f ca="1">IFERROR(_xludf.aggregate(15,6,(ROW(BOM_Costing!$A$2:$A$198))*(BOM_Costing!$A$2:$A$198=Dashboard!$B$5),18),"")</f>
        <v/>
      </c>
    </row>
    <row r="19" spans="1:1" ht="15" customHeight="1" x14ac:dyDescent="0.3">
      <c r="A19" t="str">
        <f ca="1">IFERROR(_xludf.aggregate(15,6,(ROW(BOM_Costing!$A$2:$A$198))*(BOM_Costing!$A$2:$A$198=Dashboard!$B$5),19),"")</f>
        <v/>
      </c>
    </row>
    <row r="20" spans="1:1" ht="15" customHeight="1" x14ac:dyDescent="0.3">
      <c r="A20" t="str">
        <f ca="1">IFERROR(_xludf.aggregate(15,6,(ROW(BOM_Costing!$A$2:$A$198))*(BOM_Costing!$A$2:$A$198=Dashboard!$B$5),20),"")</f>
        <v/>
      </c>
    </row>
    <row r="21" spans="1:1" ht="15" customHeight="1" x14ac:dyDescent="0.3">
      <c r="A21" t="str">
        <f ca="1">IFERROR(_xludf.aggregate(15,6,(ROW(BOM_Costing!$A$2:$A$198))*(BOM_Costing!$A$2:$A$198=Dashboard!$B$5),21),"")</f>
        <v/>
      </c>
    </row>
    <row r="22" spans="1:1" ht="15" customHeight="1" x14ac:dyDescent="0.3">
      <c r="A22" t="str">
        <f ca="1">IFERROR(_xludf.aggregate(15,6,(ROW(BOM_Costing!$A$2:$A$198))*(BOM_Costing!$A$2:$A$198=Dashboard!$B$5),22),"")</f>
        <v/>
      </c>
    </row>
    <row r="23" spans="1:1" ht="15" customHeight="1" x14ac:dyDescent="0.3">
      <c r="A23" t="str">
        <f ca="1">IFERROR(_xludf.aggregate(15,6,(ROW(BOM_Costing!$A$2:$A$198))*(BOM_Costing!$A$2:$A$198=Dashboard!$B$5),23),"")</f>
        <v/>
      </c>
    </row>
    <row r="24" spans="1:1" ht="15" customHeight="1" x14ac:dyDescent="0.3">
      <c r="A24" t="str">
        <f ca="1">IFERROR(_xludf.aggregate(15,6,(ROW(BOM_Costing!$A$2:$A$198))*(BOM_Costing!$A$2:$A$198=Dashboard!$B$5),24),"")</f>
        <v/>
      </c>
    </row>
    <row r="25" spans="1:1" ht="15" customHeight="1" x14ac:dyDescent="0.3">
      <c r="A25" t="str">
        <f ca="1">IFERROR(_xludf.aggregate(15,6,(ROW(BOM_Costing!$A$2:$A$198))*(BOM_Costing!$A$2:$A$198=Dashboard!$B$5),25),"")</f>
        <v/>
      </c>
    </row>
    <row r="26" spans="1:1" ht="15" customHeight="1" x14ac:dyDescent="0.3">
      <c r="A26" t="str">
        <f ca="1">IFERROR(_xludf.aggregate(15,6,(ROW(BOM_Costing!$A$2:$A$198))*(BOM_Costing!$A$2:$A$198=Dashboard!$B$5),26),"")</f>
        <v/>
      </c>
    </row>
    <row r="27" spans="1:1" ht="15" customHeight="1" x14ac:dyDescent="0.3">
      <c r="A27" t="str">
        <f ca="1">IFERROR(_xludf.aggregate(15,6,(ROW(BOM_Costing!$A$2:$A$198))*(BOM_Costing!$A$2:$A$198=Dashboard!$B$5),27),"")</f>
        <v/>
      </c>
    </row>
    <row r="28" spans="1:1" ht="15" customHeight="1" x14ac:dyDescent="0.3">
      <c r="A28" t="str">
        <f ca="1">IFERROR(_xludf.aggregate(15,6,(ROW(BOM_Costing!$A$2:$A$198))*(BOM_Costing!$A$2:$A$198=Dashboard!$B$5),28),"")</f>
        <v/>
      </c>
    </row>
    <row r="29" spans="1:1" ht="15" customHeight="1" x14ac:dyDescent="0.3">
      <c r="A29" t="str">
        <f ca="1">IFERROR(_xludf.aggregate(15,6,(ROW(BOM_Costing!$A$2:$A$198))*(BOM_Costing!$A$2:$A$198=Dashboard!$B$5),29),"")</f>
        <v/>
      </c>
    </row>
    <row r="30" spans="1:1" ht="15" customHeight="1" x14ac:dyDescent="0.3">
      <c r="A30" t="str">
        <f ca="1">IFERROR(_xludf.aggregate(15,6,(ROW(BOM_Costing!$A$2:$A$198))*(BOM_Costing!$A$2:$A$198=Dashboard!$B$5),30),"")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Master_Data</vt:lpstr>
      <vt:lpstr>BOM_Costing</vt:lpstr>
      <vt:lpstr>Mfg_Costing  Sub-con</vt:lpstr>
      <vt:lpstr>Man &amp;Machine Costing</vt:lpstr>
      <vt:lpstr>Sheet2</vt:lpstr>
      <vt:lpstr>Missing BOM</vt:lpstr>
      <vt:lpstr>Cost_Summary</vt:lpstr>
      <vt:lpstr>Variance_Analysis</vt:lpstr>
      <vt:lpstr>Savings_Tracker</vt:lpstr>
      <vt:lpstr>T codes</vt:lpstr>
      <vt:lpstr>DTH1500_Management_View</vt:lpstr>
      <vt:lpstr>Costing_Workflow</vt:lpstr>
      <vt:lpstr>KPI_Dashboard</vt:lpstr>
      <vt:lpstr>FilterHelper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Balaa Mahindar</cp:lastModifiedBy>
  <cp:revision>0</cp:revision>
  <dcterms:created xsi:type="dcterms:W3CDTF">2026-05-02T04:04:56Z</dcterms:created>
  <dcterms:modified xsi:type="dcterms:W3CDTF">2026-05-29T04:48:29Z</dcterms:modified>
  <dc:language>en-US</dc:language>
</cp:coreProperties>
</file>