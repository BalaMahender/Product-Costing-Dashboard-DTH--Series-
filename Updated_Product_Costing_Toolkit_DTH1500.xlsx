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humar\Downloads\"/>
    </mc:Choice>
  </mc:AlternateContent>
  <xr:revisionPtr revIDLastSave="0" documentId="13_ncr:1_{1B098474-C115-40FD-BAD8-095B7CE376D5}" xr6:coauthVersionLast="47" xr6:coauthVersionMax="47" xr10:uidLastSave="{00000000-0000-0000-0000-000000000000}"/>
  <bookViews>
    <workbookView xWindow="-108" yWindow="-108" windowWidth="23256" windowHeight="12456" tabRatio="739" activeTab="1" xr2:uid="{00000000-000D-0000-FFFF-FFFF00000000}"/>
  </bookViews>
  <sheets>
    <sheet name="Master_Data" sheetId="1" r:id="rId1"/>
    <sheet name="BOM_Costing" sheetId="2" r:id="rId2"/>
    <sheet name="Mfg_Costing  Sub-con" sheetId="4" r:id="rId3"/>
    <sheet name="Man &amp;Machine Costing" sheetId="12" r:id="rId4"/>
    <sheet name="Sheet2" sheetId="13" r:id="rId5"/>
    <sheet name="Missing BOM" sheetId="3" r:id="rId6"/>
    <sheet name="Cost_Summary" sheetId="5" r:id="rId7"/>
    <sheet name="Variance_Analysis" sheetId="6" r:id="rId8"/>
    <sheet name="Savings_Tracker" sheetId="7" r:id="rId9"/>
    <sheet name="T codes" sheetId="8" r:id="rId10"/>
    <sheet name="DTH1500_Management_View" sheetId="9" r:id="rId11"/>
    <sheet name="Costing_Workflow" sheetId="10" r:id="rId12"/>
    <sheet name="KPI_Dashboard" sheetId="11" r:id="rId13"/>
  </sheets>
  <definedNames>
    <definedName name="_xlnm._FilterDatabase" localSheetId="9" hidden="1">'T codes'!$B$15:$D$49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L3" i="1" s="1"/>
  <c r="B18" i="13"/>
  <c r="E3" i="12"/>
  <c r="E2" i="12"/>
  <c r="H3" i="1"/>
  <c r="I3" i="1"/>
  <c r="F3" i="1"/>
  <c r="E3" i="1"/>
  <c r="I2" i="1"/>
  <c r="H2" i="1"/>
  <c r="E2" i="4"/>
  <c r="I27" i="2"/>
  <c r="I26" i="2"/>
  <c r="I25" i="2"/>
  <c r="I24" i="2"/>
  <c r="I23" i="2"/>
  <c r="I22" i="2"/>
  <c r="I21" i="2"/>
  <c r="I20" i="2"/>
  <c r="I19" i="2"/>
  <c r="D3" i="5" l="1"/>
  <c r="H5" i="9" l="1"/>
  <c r="I5" i="9" s="1"/>
  <c r="H4" i="9"/>
  <c r="I4" i="9" s="1"/>
  <c r="H3" i="9"/>
  <c r="I3" i="9" s="1"/>
  <c r="H2" i="9"/>
  <c r="I2" i="9" s="1"/>
  <c r="E2" i="7"/>
  <c r="F2" i="7" s="1"/>
  <c r="E2" i="6"/>
  <c r="F2" i="6" s="1"/>
  <c r="G3" i="5"/>
  <c r="E3" i="5"/>
  <c r="C3" i="5"/>
  <c r="B3" i="5"/>
  <c r="E3" i="4"/>
  <c r="F2" i="1" s="1"/>
  <c r="C2" i="5" s="1"/>
  <c r="K2" i="4"/>
  <c r="I17" i="2"/>
  <c r="I16" i="2"/>
  <c r="I15" i="2"/>
  <c r="I14" i="2"/>
  <c r="I13" i="2"/>
  <c r="I12" i="2"/>
  <c r="I11" i="2"/>
  <c r="E2" i="1" s="1"/>
  <c r="I10" i="2"/>
  <c r="I9" i="2"/>
  <c r="I8" i="2"/>
  <c r="I7" i="2"/>
  <c r="I6" i="2"/>
  <c r="I5" i="2"/>
  <c r="I4" i="2"/>
  <c r="K2" i="2"/>
  <c r="I2" i="2"/>
  <c r="E2" i="5"/>
  <c r="D2" i="5"/>
  <c r="B2" i="5" l="1"/>
  <c r="J2" i="1"/>
  <c r="G2" i="5" s="1"/>
  <c r="H3" i="5" l="1"/>
  <c r="F3" i="5"/>
  <c r="F2" i="5"/>
  <c r="L2" i="1"/>
  <c r="H2" i="5" s="1"/>
</calcChain>
</file>

<file path=xl/sharedStrings.xml><?xml version="1.0" encoding="utf-8"?>
<sst xmlns="http://schemas.openxmlformats.org/spreadsheetml/2006/main" count="587" uniqueCount="407">
  <si>
    <t>Product Code</t>
  </si>
  <si>
    <t>Product Name</t>
  </si>
  <si>
    <t>Revision</t>
  </si>
  <si>
    <t>UoM</t>
  </si>
  <si>
    <t>Std Material Cost (Auto)</t>
  </si>
  <si>
    <t>Std Labour Cost (Auto)</t>
  </si>
  <si>
    <t>Std Overhead (Auto)</t>
  </si>
  <si>
    <t>Std Total Cost (Auto)</t>
  </si>
  <si>
    <t>Target Margin %</t>
  </si>
  <si>
    <t>Target Selling Price (Auto)</t>
  </si>
  <si>
    <t>Last Updated</t>
  </si>
  <si>
    <t>DTH1500</t>
  </si>
  <si>
    <t>DTH-1500 SQ BAR MAST ASSEMBLY</t>
  </si>
  <si>
    <t>R1</t>
  </si>
  <si>
    <t>Nos</t>
  </si>
  <si>
    <t>Item Code</t>
  </si>
  <si>
    <t>Item Description</t>
  </si>
  <si>
    <t>Category</t>
  </si>
  <si>
    <t>Qty</t>
  </si>
  <si>
    <t>Unit Rate</t>
  </si>
  <si>
    <t xml:space="preserve">Raw Material </t>
  </si>
  <si>
    <t>Line Cost (Auto)</t>
  </si>
  <si>
    <t>Vendor</t>
  </si>
  <si>
    <t>Remarks</t>
  </si>
  <si>
    <t>2020101042</t>
  </si>
  <si>
    <t>Mast Structure KLR-1500 with Material</t>
  </si>
  <si>
    <t>Main Assembly</t>
  </si>
  <si>
    <t>Kg</t>
  </si>
  <si>
    <t>SA01100026A0</t>
  </si>
  <si>
    <t>YOKE SCREW ASSEMBLY_SINGLE GROOVE</t>
  </si>
  <si>
    <t>SA01100024A0</t>
  </si>
  <si>
    <t>SMALL PULLEY ASSEMBLY_SINGLE GROOVE</t>
  </si>
  <si>
    <t>SA40000525A0</t>
  </si>
  <si>
    <t>BOTTOM PULLEY ASSEMBLY_SINGLE GROOVE</t>
  </si>
  <si>
    <t>SA40000606A0</t>
  </si>
  <si>
    <t>TRAVELING BLOCK ASSEMBLY_SINGLE GROOVE</t>
  </si>
  <si>
    <t>SA01100028A0</t>
  </si>
  <si>
    <t>ROPE  RETAINER ASSEMBLY</t>
  </si>
  <si>
    <t>3025101010</t>
  </si>
  <si>
    <t>Wire Rope 20mm Steel Core</t>
  </si>
  <si>
    <t>Raw Material</t>
  </si>
  <si>
    <t>Mts</t>
  </si>
  <si>
    <t>3028201565</t>
  </si>
  <si>
    <t>Wire Rope Clamp 20 MM</t>
  </si>
  <si>
    <t>SA01100782A0</t>
  </si>
  <si>
    <t>140 FEED CYL BRACKET</t>
  </si>
  <si>
    <t>FC01100635A0</t>
  </si>
  <si>
    <t>FEED 140 EYE PIECE,EN8  Ø126x258L 40pin</t>
  </si>
  <si>
    <t>FC01100636A0</t>
  </si>
  <si>
    <t>FEED140 CYL CAP EYE PIN,EN-19  Ø63X128L</t>
  </si>
  <si>
    <t>FC40000081A0</t>
  </si>
  <si>
    <t>EYE PIECE PIN _EN8_OD48X80L</t>
  </si>
  <si>
    <t>3018101150</t>
  </si>
  <si>
    <t>Feed 140 x 100  x 2350(250Bar)P4954</t>
  </si>
  <si>
    <t>SA40000565A0</t>
  </si>
  <si>
    <t>MAST LOCKING ASSY (ON MAST)</t>
  </si>
  <si>
    <t>FC01103716A0</t>
  </si>
  <si>
    <t>140 FEED CYL PIN LOCKING WASHER</t>
  </si>
  <si>
    <t>SA03100266A0</t>
  </si>
  <si>
    <t>H-PLATE ASSEMBLY</t>
  </si>
  <si>
    <t>MAST METAL PIPES DTH-1500</t>
  </si>
  <si>
    <t xml:space="preserve"> DTH-1500 PAINTING LIST</t>
  </si>
  <si>
    <t>SL NO</t>
  </si>
  <si>
    <t>MATERIAL DESCRIPTION</t>
  </si>
  <si>
    <t>QTY</t>
  </si>
  <si>
    <t>30 0D Pipe 2200mm (Rotational Pipe)</t>
  </si>
  <si>
    <t>Orange</t>
  </si>
  <si>
    <t>30ltr</t>
  </si>
  <si>
    <t>30 0D Pipe Bend 450mm (180 Degree)</t>
  </si>
  <si>
    <t>Milk White</t>
  </si>
  <si>
    <t>6ltr</t>
  </si>
  <si>
    <t>16 0D Pipe 2200mm (Leak Line)</t>
  </si>
  <si>
    <t>Red Oxide</t>
  </si>
  <si>
    <t>12ltr</t>
  </si>
  <si>
    <t>16 0D Pipe Bend 2200mm</t>
  </si>
  <si>
    <t>Ne Thinner</t>
  </si>
  <si>
    <t>25ltr</t>
  </si>
  <si>
    <t>30 0D Feed Pipe 4900mm</t>
  </si>
  <si>
    <t>Carpant Oil</t>
  </si>
  <si>
    <t>5ltr</t>
  </si>
  <si>
    <t>30 0D Feed Pipe 2500mm</t>
  </si>
  <si>
    <t>Bharath Paste</t>
  </si>
  <si>
    <t>5Kg</t>
  </si>
  <si>
    <t>60 0D Feed Pipe 2220mm (ARW Pipe)</t>
  </si>
  <si>
    <t>Lappam</t>
  </si>
  <si>
    <t>2Kg</t>
  </si>
  <si>
    <t>60 0D Feed Pipe Bend 300mm</t>
  </si>
  <si>
    <t>Black Enamil Paint</t>
  </si>
  <si>
    <t>60 0D Feed Pipe Outside 300mm</t>
  </si>
  <si>
    <t>Pu Putty</t>
  </si>
  <si>
    <t>22mm OD 3000mm (ARW)</t>
  </si>
  <si>
    <t>Water Embri Paper 220 Grt</t>
  </si>
  <si>
    <t>Meter paper 80 Grt</t>
  </si>
  <si>
    <t>4m</t>
  </si>
  <si>
    <t>Hose Packing(Film)</t>
  </si>
  <si>
    <t>MAST METAL CLAMP-1500</t>
  </si>
  <si>
    <t>12mm Plate 160*100</t>
  </si>
  <si>
    <t>12mm Plate 130*100</t>
  </si>
  <si>
    <t>75*40 Channel 550L</t>
  </si>
  <si>
    <t>75*40 Channel 180L</t>
  </si>
  <si>
    <t>20*110*110 Plate</t>
  </si>
  <si>
    <t>25*350*25 Square</t>
  </si>
  <si>
    <t>25*25*100 Square</t>
  </si>
  <si>
    <t>Process</t>
  </si>
  <si>
    <t>Rate per Hr</t>
  </si>
  <si>
    <t>Labour Cost</t>
  </si>
  <si>
    <t>Overhead Cost</t>
  </si>
  <si>
    <t>Cutting</t>
  </si>
  <si>
    <t>Assembly</t>
  </si>
  <si>
    <t>Material Cost (Auto)</t>
  </si>
  <si>
    <t>Mfg Cost (Auto)</t>
  </si>
  <si>
    <t>Labour Cost (Auto)</t>
  </si>
  <si>
    <t>Overhead (Auto)</t>
  </si>
  <si>
    <t>Total Cost (Auto)</t>
  </si>
  <si>
    <t>Selling Price (Auto)</t>
  </si>
  <si>
    <t>Month</t>
  </si>
  <si>
    <t>Standard Cost</t>
  </si>
  <si>
    <t>Actual Cost</t>
  </si>
  <si>
    <t>Variance (Auto)</t>
  </si>
  <si>
    <t>Variance % (Auto)</t>
  </si>
  <si>
    <t>Reason</t>
  </si>
  <si>
    <t>Action Plan</t>
  </si>
  <si>
    <t>Owner</t>
  </si>
  <si>
    <t>Status</t>
  </si>
  <si>
    <t>Apr-2026</t>
  </si>
  <si>
    <t>Project/Initiative</t>
  </si>
  <si>
    <t>Old Cost</t>
  </si>
  <si>
    <t>New Cost</t>
  </si>
  <si>
    <t>Savings (Auto)</t>
  </si>
  <si>
    <t>Savings % (Auto)</t>
  </si>
  <si>
    <t>Start Date</t>
  </si>
  <si>
    <t>End Date</t>
  </si>
  <si>
    <t>Vendor Renegotiation</t>
  </si>
  <si>
    <t>Material Master → BOM → Routing → Work Center</t>
  </si>
  <si>
    <t>Product Costing (CO-PC)</t>
  </si>
  <si>
    <t xml:space="preserve">        ↓</t>
  </si>
  <si>
    <t>CK11N, CK13N, CK24</t>
  </si>
  <si>
    <t xml:space="preserve">     Standard Cost (CK11N / CK13N)</t>
  </si>
  <si>
    <t>BOM (Bill of Material)</t>
  </si>
  <si>
    <t>CS01, CS02, CS03</t>
  </si>
  <si>
    <t xml:space="preserve">     Production Order (CO01)</t>
  </si>
  <si>
    <t>CS11, CS12, CS13, CS14, CS15</t>
  </si>
  <si>
    <t>Routing / Production</t>
  </si>
  <si>
    <t xml:space="preserve">     Actual Cost Capture (Goods Issue, Confirmation)</t>
  </si>
  <si>
    <t>CA01, CA02, CA03</t>
  </si>
  <si>
    <t>COOIS, CO11N</t>
  </si>
  <si>
    <t xml:space="preserve">     Variance Analysis (KKS2)</t>
  </si>
  <si>
    <t>Master Data / Procurement / Stock</t>
  </si>
  <si>
    <t>MM03, ME51N, ME2M, MMBE, MB51</t>
  </si>
  <si>
    <t xml:space="preserve">     Settlement (KO88)</t>
  </si>
  <si>
    <t>KS01, KS02, KS03 (Cost Centers)</t>
  </si>
  <si>
    <t xml:space="preserve">     Profitability / Reports</t>
  </si>
  <si>
    <t>Area</t>
  </si>
  <si>
    <t>T-Code</t>
  </si>
  <si>
    <t>Purpose</t>
  </si>
  <si>
    <t>Material Master</t>
  </si>
  <si>
    <t>MM03</t>
  </si>
  <si>
    <t>Price, valuation</t>
  </si>
  <si>
    <t>BOM</t>
  </si>
  <si>
    <t>CS03</t>
  </si>
  <si>
    <t>Components &amp; qty</t>
  </si>
  <si>
    <t>Routing</t>
  </si>
  <si>
    <t>CA03</t>
  </si>
  <si>
    <t>Process steps</t>
  </si>
  <si>
    <t>Work Center</t>
  </si>
  <si>
    <t>CR03</t>
  </si>
  <si>
    <t>Cost per hour</t>
  </si>
  <si>
    <t>Cost Center</t>
  </si>
  <si>
    <t>KS03</t>
  </si>
  <si>
    <t>Cost allocation</t>
  </si>
  <si>
    <t>Activity Type</t>
  </si>
  <si>
    <t>KL03</t>
  </si>
  <si>
    <t>Labour/machine cost</t>
  </si>
  <si>
    <t>B. Costing (Core Area)</t>
  </si>
  <si>
    <t>CK11N</t>
  </si>
  <si>
    <t>Create cost estimate</t>
  </si>
  <si>
    <t>CK13N</t>
  </si>
  <si>
    <t>Display cost</t>
  </si>
  <si>
    <t>CK40N</t>
  </si>
  <si>
    <t>Mass costing</t>
  </si>
  <si>
    <t>CK24</t>
  </si>
  <si>
    <t>Release standard cost</t>
  </si>
  <si>
    <t>C. Cost Component &amp; Structure (Deep Understanding)</t>
  </si>
  <si>
    <t>CK13N → Cost Component View</t>
  </si>
  <si>
    <t>Material / labour / overhead split</t>
  </si>
  <si>
    <t>OKTZ</t>
  </si>
  <si>
    <t>Cost component structure</t>
  </si>
  <si>
    <t>OKKN</t>
  </si>
  <si>
    <t>Costing variant</t>
  </si>
  <si>
    <t>D. Production Order (Actual Cost Flow)</t>
  </si>
  <si>
    <t>CO01</t>
  </si>
  <si>
    <t>Create production order</t>
  </si>
  <si>
    <t>CO02</t>
  </si>
  <si>
    <t>Change order</t>
  </si>
  <si>
    <t>CO03</t>
  </si>
  <si>
    <t>Display order</t>
  </si>
  <si>
    <t>E. Actual Cost Capture</t>
  </si>
  <si>
    <t>MB1A / MIGO</t>
  </si>
  <si>
    <t>Material issue</t>
  </si>
  <si>
    <t>MB1B</t>
  </si>
  <si>
    <t>Transfer posting</t>
  </si>
  <si>
    <t>CO11N</t>
  </si>
  <si>
    <t>Production confirmation</t>
  </si>
  <si>
    <t>KB31N</t>
  </si>
  <si>
    <t>Activity posting</t>
  </si>
  <si>
    <t>F. Variance &amp; Analysis (VERY IMPORTANT FOR YOU)</t>
  </si>
  <si>
    <t>KKS2</t>
  </si>
  <si>
    <t>Variance calculation</t>
  </si>
  <si>
    <t>KKS1</t>
  </si>
  <si>
    <t>Variance (single order)</t>
  </si>
  <si>
    <t>KKBC_HOE</t>
  </si>
  <si>
    <t>Cost analysis report</t>
  </si>
  <si>
    <t>COOIS</t>
  </si>
  <si>
    <t>Order info system</t>
  </si>
  <si>
    <t>G. Settlement</t>
  </si>
  <si>
    <t>KO88</t>
  </si>
  <si>
    <t>Settle production order</t>
  </si>
  <si>
    <t>H. Reporting &amp; Profitability</t>
  </si>
  <si>
    <t>S_ALR_87013127</t>
  </si>
  <si>
    <t>Cost center report</t>
  </si>
  <si>
    <t>KE30</t>
  </si>
  <si>
    <t>Profitability report</t>
  </si>
  <si>
    <t>MC$ reports</t>
  </si>
  <si>
    <t>Cost analysis</t>
  </si>
  <si>
    <t>FG Code</t>
  </si>
  <si>
    <t>Product</t>
  </si>
  <si>
    <t>Estimated Cost</t>
  </si>
  <si>
    <t>Selling Price</t>
  </si>
  <si>
    <t>Margin</t>
  </si>
  <si>
    <t>Margin %</t>
  </si>
  <si>
    <t>MA1010101007A0</t>
  </si>
  <si>
    <t>DTH 1500</t>
  </si>
  <si>
    <t>Mast Assembly</t>
  </si>
  <si>
    <t>Fabrication</t>
  </si>
  <si>
    <t>Internal</t>
  </si>
  <si>
    <t>Critical Assembly</t>
  </si>
  <si>
    <t>Hydraulic</t>
  </si>
  <si>
    <t>BOC</t>
  </si>
  <si>
    <t>Danfoss</t>
  </si>
  <si>
    <t>Hydraulic Package</t>
  </si>
  <si>
    <t>Platform</t>
  </si>
  <si>
    <t>Subcontract</t>
  </si>
  <si>
    <t>Platform Vendor</t>
  </si>
  <si>
    <t>Fabrication Cost</t>
  </si>
  <si>
    <t>Painting</t>
  </si>
  <si>
    <t>Painter Vendor</t>
  </si>
  <si>
    <t>Final Finish</t>
  </si>
  <si>
    <t>DTH1500 Product Costing Workflow</t>
  </si>
  <si>
    <t>1. Extract BOM from SAP CS12</t>
  </si>
  <si>
    <t>2. Validate Parent-Child structure</t>
  </si>
  <si>
    <t>3. Verify Routing in CA03</t>
  </si>
  <si>
    <t>4. Validate RM &amp; BOC prices with Procurement</t>
  </si>
  <si>
    <t>5. Add subcontracting bills</t>
  </si>
  <si>
    <t>6. Run CK11N costing</t>
  </si>
  <si>
    <t>7. Analyze CK13N cost structure</t>
  </si>
  <si>
    <t>8. Validate inventory physically</t>
  </si>
  <si>
    <t>9. Release standard price in CK24</t>
  </si>
  <si>
    <t>10. Review margins before quotation release</t>
  </si>
  <si>
    <t>KPI</t>
  </si>
  <si>
    <t>Target</t>
  </si>
  <si>
    <t>Actual</t>
  </si>
  <si>
    <t>20%</t>
  </si>
  <si>
    <t>18%</t>
  </si>
  <si>
    <t>Monitor</t>
  </si>
  <si>
    <t>Inventory Accuracy</t>
  </si>
  <si>
    <t>98%</t>
  </si>
  <si>
    <t>95%</t>
  </si>
  <si>
    <t>Improve</t>
  </si>
  <si>
    <t>Open PO Aging</t>
  </si>
  <si>
    <t>&lt;30 Days</t>
  </si>
  <si>
    <t>45 Days</t>
  </si>
  <si>
    <t>Action Required</t>
  </si>
  <si>
    <t>Cost Variance</t>
  </si>
  <si>
    <t>&lt;5%</t>
  </si>
  <si>
    <t>8%</t>
  </si>
  <si>
    <t>Review</t>
  </si>
  <si>
    <t>SAP Update Compliance</t>
  </si>
  <si>
    <t>100%</t>
  </si>
  <si>
    <t>90%</t>
  </si>
  <si>
    <t>MA1010101019A0</t>
  </si>
  <si>
    <t>SA40001068A0</t>
  </si>
  <si>
    <t>SA40002822A0</t>
  </si>
  <si>
    <t>PLATFORM 6.6METER MAIN ASSEMBLY (DTH-1500)</t>
  </si>
  <si>
    <t>SA40002823A0</t>
  </si>
  <si>
    <t>PTO &amp; RH GEAR BOX MAIN ASSEMBLY (DTH-1500)</t>
  </si>
  <si>
    <t>SA40002824A0</t>
  </si>
  <si>
    <t>HYDRAULICS (DTH-1500)</t>
  </si>
  <si>
    <t>SA40002825A0</t>
  </si>
  <si>
    <t>ACCESSORIES (DTH-1500)</t>
  </si>
  <si>
    <t>SA40002826A0</t>
  </si>
  <si>
    <t>DTH-1500 [ BOC LIST ]</t>
  </si>
  <si>
    <t>SA40002827A0</t>
  </si>
  <si>
    <t>PAINTING LIST (DTH-1500)</t>
  </si>
  <si>
    <t>SA40000520A0</t>
  </si>
  <si>
    <t>ROD CHANGER ASSEMBLY</t>
  </si>
  <si>
    <t>SA09100003A0</t>
  </si>
  <si>
    <t>ONE TON WINCH GEAR BOX MTG ASSLY</t>
  </si>
  <si>
    <t>DTH-1500 STANDERD-1</t>
  </si>
  <si>
    <t>CABIN WORK ( WITH MATERIAL)</t>
  </si>
  <si>
    <t>Mast Comp. Work R 1500 Mast</t>
  </si>
  <si>
    <t>Bottom Guide Mounting</t>
  </si>
  <si>
    <t>Extra Base Guide Ribs</t>
  </si>
  <si>
    <t>Yoke Box Guard Top</t>
  </si>
  <si>
    <t>Mast Resting Stand</t>
  </si>
  <si>
    <t>BOW Cylinder Mounting</t>
  </si>
  <si>
    <t xml:space="preserve">Travelling Roller </t>
  </si>
  <si>
    <t>Feed Cylinder Bracket</t>
  </si>
  <si>
    <t>KLR Name Plate</t>
  </si>
  <si>
    <t>MRC Mounting</t>
  </si>
  <si>
    <t xml:space="preserve">H- Plate Roller </t>
  </si>
  <si>
    <t>Rod Changer Mounting</t>
  </si>
  <si>
    <t>Winch Gear Box</t>
  </si>
  <si>
    <t>Ladder Fitting</t>
  </si>
  <si>
    <t>Water Shield</t>
  </si>
  <si>
    <t>COM PLATFORM WORK ON REGULAR RIG (WITH COMPRESSIOR) WITH ALL EXTRA WORKS</t>
  </si>
  <si>
    <t>HYDRAULICS</t>
  </si>
  <si>
    <t>Hyderalic Leaver Fitting</t>
  </si>
  <si>
    <t>Rig Comp. &amp; Chassis Painting Export Rig</t>
  </si>
  <si>
    <t>Water Washing Main Rig</t>
  </si>
  <si>
    <t>Hose Packing</t>
  </si>
  <si>
    <t>White Painting Single Coat Export Rig</t>
  </si>
  <si>
    <t xml:space="preserve">Painting Rework </t>
  </si>
  <si>
    <t>LEFT HAND STEARING CONVERSION</t>
  </si>
  <si>
    <t>Stearing open,Drilling &amp; Fitting,Air Filter position changed,Clutch , Break , Excelator position changed,Hand Break position changed,Gear position changed ,Air pipe line position changed,Power Stearing position Changed</t>
  </si>
  <si>
    <t>R.N.T + Brazing,Air Tank Fitting</t>
  </si>
  <si>
    <t>RH GEAR  BOX FABRICATION</t>
  </si>
  <si>
    <t>Man&amp; Machine/Hrs</t>
  </si>
  <si>
    <t>Apr-2027</t>
  </si>
  <si>
    <t>Sub Con -Process Cost (Auto)</t>
  </si>
  <si>
    <t>Angel Frame Work,In &amp; Out GI Sheet Covering,Gas Welding Work,Cabin Painting Work,Main &amp; Side Cabin Glass Fitting,Inside Tool Box Cushion Work &amp; Inside Bed,Cabin Electrical Wiring Work,Including All Miscellaneous Materials, Fasteners &amp; Consumables.</t>
  </si>
  <si>
    <t>Std Mfg Cost (Auto)
Sub Con Charges</t>
  </si>
  <si>
    <t>Man &amp; Machine Hrs</t>
  </si>
  <si>
    <t>Rate/Hr (₹)</t>
  </si>
  <si>
    <t>Process Cost (₹)</t>
  </si>
  <si>
    <t>Labour Cost (₹)</t>
  </si>
  <si>
    <t>Overhead Cost (₹)</t>
  </si>
  <si>
    <t>Chassis Fabrication</t>
  </si>
  <si>
    <t>Mast Fabrication</t>
  </si>
  <si>
    <t>Rotary Head Assembly</t>
  </si>
  <si>
    <t>Hydraulic Assembly</t>
  </si>
  <si>
    <t>Engine Mounting</t>
  </si>
  <si>
    <t>Compressor Mounting</t>
  </si>
  <si>
    <t>PTO &amp; Gear Box Assembly</t>
  </si>
  <si>
    <t>Winch &amp; Feed Assembly</t>
  </si>
  <si>
    <t>Rod Changer Assembly</t>
  </si>
  <si>
    <t>Cabin Fabrication</t>
  </si>
  <si>
    <t>Included</t>
  </si>
  <si>
    <t>Electrical Wiring</t>
  </si>
  <si>
    <t>Pneumatic Line Fitting</t>
  </si>
  <si>
    <t>Hydraulic Hose Routing</t>
  </si>
  <si>
    <t>Painting &amp; Surface Prep</t>
  </si>
  <si>
    <t>Testing &amp; Commissioning</t>
  </si>
  <si>
    <t>Final Inspection &amp; QC</t>
  </si>
  <si>
    <t>PILLER SIDES METAL PIPES</t>
  </si>
  <si>
    <t>S NO</t>
  </si>
  <si>
    <t>MATERIAL DESCRIPTIONS</t>
  </si>
  <si>
    <t>30 OD seamless pipe X 950L</t>
  </si>
  <si>
    <t xml:space="preserve">22 OD ERW Pipe X 960L </t>
  </si>
  <si>
    <t>16 OD seamless Pipe x 970L</t>
  </si>
  <si>
    <t>CLAMPS</t>
  </si>
  <si>
    <t>50x50xAnglex400L</t>
  </si>
  <si>
    <t>25X25 Sqbar 400L</t>
  </si>
  <si>
    <t>PILLER AIR LINE PIPE</t>
  </si>
  <si>
    <t>60 OD ERW Pipe x 350L</t>
  </si>
  <si>
    <t>60 OD ERW Pipe x 280L</t>
  </si>
  <si>
    <t xml:space="preserve"> 60 OD ERW Pipe x 320L</t>
  </si>
  <si>
    <t>Air line Nippal size seamless pipe x 60OD x 120</t>
  </si>
  <si>
    <t>6OD half Bend ERW outside</t>
  </si>
  <si>
    <t>Flange 150 x 60 OD hole</t>
  </si>
  <si>
    <t>1" Coupling</t>
  </si>
  <si>
    <t>1.5 " Coupling</t>
  </si>
  <si>
    <t>0.5" Ball value</t>
  </si>
  <si>
    <t>1" Ball value</t>
  </si>
  <si>
    <t>1.5" Ball value</t>
  </si>
  <si>
    <t>2" Ball value spcl</t>
  </si>
  <si>
    <t>0.5" Coupling</t>
  </si>
  <si>
    <t>UNDER THE PLATEFORM</t>
  </si>
  <si>
    <t>16 OD Seamless pipe x 5600mm</t>
  </si>
  <si>
    <t>16mm Thick x 380L</t>
  </si>
  <si>
    <t>35 x 35 x 130L</t>
  </si>
  <si>
    <t>SERIES PIPE</t>
  </si>
  <si>
    <t>Seam less x OD16 x 100m</t>
  </si>
  <si>
    <t>16 x 16 x 380 L</t>
  </si>
  <si>
    <t xml:space="preserve">BOW </t>
  </si>
  <si>
    <t>16 OD x 900L</t>
  </si>
  <si>
    <t>16 OD x 800L</t>
  </si>
  <si>
    <t>16 x16 x100</t>
  </si>
  <si>
    <t>HYDRAULIC TANK</t>
  </si>
  <si>
    <t>FRONT SIDE</t>
  </si>
  <si>
    <t>16 OD Seam less pipe x 1400</t>
  </si>
  <si>
    <t>16 OD Seam less pipe x 1500</t>
  </si>
  <si>
    <t>CLAMP</t>
  </si>
  <si>
    <t>16 x 16 x 100mm</t>
  </si>
  <si>
    <t>HYDRAULIC COOLER RETURN PIPE</t>
  </si>
  <si>
    <t>750D x 6000mml (ERW)</t>
  </si>
  <si>
    <t>60OD x 200mm (ERW)</t>
  </si>
  <si>
    <t>75 OD x Half Bend</t>
  </si>
  <si>
    <t>Return weldable Box 450L x 75OD pipe (ERW)</t>
  </si>
  <si>
    <t>L &amp; T PUMP METAL LINE (ERW PIPE)</t>
  </si>
  <si>
    <t>75 OD x 600</t>
  </si>
  <si>
    <t>75 OD x 270L</t>
  </si>
  <si>
    <t>75 OD x 80L</t>
  </si>
  <si>
    <t>75 OD x 90L</t>
  </si>
  <si>
    <t>75 OD x 500L</t>
  </si>
  <si>
    <t>75 OD x 130L</t>
  </si>
  <si>
    <t>Hose Nipple 75OD x 120L</t>
  </si>
  <si>
    <t>Out source Job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</si>
</sst>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6" fillId="0" borderId="1" xfId="0" applyNumberFormat="1" applyFont="1" applyBorder="1"/>
    <xf numFmtId="164" fontId="0" fillId="0" borderId="0" xfId="0" applyNumberFormat="1"/>
    <xf numFmtId="3" fontId="0" fillId="0" borderId="1" xfId="0" applyNumberFormat="1" applyBorder="1" applyAlignment="1">
      <alignment horizontal="center" wrapText="1"/>
    </xf>
    <xf numFmtId="164" fontId="0" fillId="0" borderId="1" xfId="0" applyNumberForma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5" xfId="0" applyBorder="1"/>
    <xf numFmtId="0" fontId="8" fillId="2" borderId="0" xfId="0" applyFont="1" applyFill="1"/>
    <xf numFmtId="0" fontId="9" fillId="0" borderId="0" xfId="0" applyFont="1"/>
    <xf numFmtId="0" fontId="10" fillId="0" borderId="1" xfId="0" applyFont="1" applyBorder="1"/>
    <xf numFmtId="4" fontId="0" fillId="0" borderId="1" xfId="0" applyNumberFormat="1" applyBorder="1" applyAlignment="1">
      <alignment vertical="center" wrapText="1"/>
    </xf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4" fontId="5" fillId="0" borderId="0" xfId="1"/>
    <xf numFmtId="0" fontId="0" fillId="0" borderId="5" xfId="0" applyBorder="1" applyAlignment="1">
      <alignment horizontal="center" vertical="center" wrapText="1"/>
    </xf>
    <xf numFmtId="44" fontId="5" fillId="0" borderId="1" xfId="1" applyBorder="1"/>
    <xf numFmtId="0" fontId="0" fillId="0" borderId="5" xfId="0" applyBorder="1" applyAlignment="1">
      <alignment horizontal="left" wrapText="1"/>
    </xf>
    <xf numFmtId="44" fontId="2" fillId="0" borderId="1" xfId="1" applyFont="1" applyBorder="1"/>
    <xf numFmtId="0" fontId="2" fillId="0" borderId="0" xfId="0" applyFont="1"/>
    <xf numFmtId="0" fontId="6" fillId="0" borderId="1" xfId="0" applyFont="1" applyBorder="1"/>
    <xf numFmtId="0" fontId="2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8" sqref="B8"/>
    </sheetView>
  </sheetViews>
  <sheetFormatPr defaultRowHeight="14.4" x14ac:dyDescent="0.3"/>
  <cols>
    <col min="1" max="1" width="16" bestFit="1" customWidth="1"/>
    <col min="2" max="2" width="30.21875" bestFit="1" customWidth="1"/>
    <col min="3" max="3" width="8" bestFit="1" customWidth="1"/>
    <col min="4" max="4" width="5.21875" bestFit="1" customWidth="1"/>
    <col min="5" max="5" width="21.5546875" bestFit="1" customWidth="1"/>
    <col min="6" max="6" width="17.88671875" bestFit="1" customWidth="1"/>
    <col min="7" max="7" width="17.88671875" customWidth="1"/>
    <col min="8" max="8" width="15.5546875" customWidth="1"/>
    <col min="9" max="9" width="12.6640625" customWidth="1"/>
    <col min="10" max="10" width="18.6640625" bestFit="1" customWidth="1"/>
    <col min="11" max="11" width="14.77734375" bestFit="1" customWidth="1"/>
    <col min="12" max="12" width="23" bestFit="1" customWidth="1"/>
    <col min="13" max="13" width="12.109375" bestFit="1" customWidth="1"/>
  </cols>
  <sheetData>
    <row r="1" spans="1:13" s="17" customFormat="1" ht="27.6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330</v>
      </c>
      <c r="G1" s="24" t="s">
        <v>406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10</v>
      </c>
    </row>
    <row r="2" spans="1:13" s="45" customFormat="1" x14ac:dyDescent="0.3">
      <c r="A2" s="32" t="s">
        <v>11</v>
      </c>
      <c r="B2" s="32" t="s">
        <v>12</v>
      </c>
      <c r="C2" s="32" t="s">
        <v>13</v>
      </c>
      <c r="D2" s="32" t="s">
        <v>14</v>
      </c>
      <c r="E2" s="58">
        <f>SUMIF(BOM_Costing!A:A,A2,BOM_Costing!I:I)</f>
        <v>362204.15999999997</v>
      </c>
      <c r="F2" s="58">
        <f>SUMIF('Mfg_Costing  Sub-con'!A:A,A2,'Mfg_Costing  Sub-con'!E:E)</f>
        <v>3500</v>
      </c>
      <c r="G2" s="58"/>
      <c r="H2" s="44">
        <f>SUMIF('Mfg_Costing  Sub-con'!A:A,A2,'Mfg_Costing  Sub-con'!F:F)</f>
        <v>5000</v>
      </c>
      <c r="I2" s="32">
        <f>SUMIF('Mfg_Costing  Sub-con'!A:A,A2,'Mfg_Costing  Sub-con'!G:G)</f>
        <v>4500</v>
      </c>
      <c r="J2" s="58">
        <f>SUM(E2:I2)</f>
        <v>375204.16</v>
      </c>
      <c r="K2" s="32"/>
      <c r="L2" s="58">
        <f>IFERROR(J2/(1-K2/100),"")</f>
        <v>375204.16</v>
      </c>
      <c r="M2" s="32"/>
    </row>
    <row r="3" spans="1:13" s="45" customFormat="1" x14ac:dyDescent="0.3">
      <c r="A3" s="28" t="s">
        <v>279</v>
      </c>
      <c r="B3" s="32" t="s">
        <v>297</v>
      </c>
      <c r="C3" s="32" t="s">
        <v>13</v>
      </c>
      <c r="D3" s="32" t="s">
        <v>14</v>
      </c>
      <c r="E3" s="58">
        <f>SUMIF(BOM_Costing!A:A,A3,BOM_Costing!I:I)</f>
        <v>1771424.35</v>
      </c>
      <c r="F3" s="58">
        <f>SUMIF('Mfg_Costing  Sub-con'!A:A,A3,'Mfg_Costing  Sub-con'!E:E)</f>
        <v>168399.09999999998</v>
      </c>
      <c r="G3" s="58">
        <v>76697</v>
      </c>
      <c r="H3" s="44">
        <f>SUMIF('Man &amp;Machine Costing'!A:A,A3,'Man &amp;Machine Costing'!E:E)</f>
        <v>38040</v>
      </c>
      <c r="I3" s="44">
        <f>SUMIF('Man &amp;Machine Costing'!A:A,A3,'Man &amp;Machine Costing'!F:F)</f>
        <v>10500</v>
      </c>
      <c r="J3" s="58">
        <f>SUM(E3:I3)</f>
        <v>2065060.4500000002</v>
      </c>
      <c r="K3" s="32"/>
      <c r="L3" s="58">
        <f>IFERROR(J3/(1-K3/100),"")</f>
        <v>2065060.4500000002</v>
      </c>
      <c r="M3" s="32"/>
    </row>
    <row r="4" spans="1:13" x14ac:dyDescent="0.3">
      <c r="H4" s="40"/>
    </row>
  </sheetData>
  <dataValidations count="1">
    <dataValidation type="list" allowBlank="1" sqref="D1:D1048576" xr:uid="{00000000-0002-0000-0000-000000000000}">
      <formula1>"Nos,Kg,Set,Assembly,Mts"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workbookViewId="0">
      <pane xSplit="6" ySplit="1" topLeftCell="G9" activePane="bottomRight" state="frozen"/>
      <selection pane="topRight" activeCell="G1" sqref="G1"/>
      <selection pane="bottomLeft" activeCell="A2" sqref="A2"/>
      <selection pane="bottomRight" activeCell="C24" sqref="C24"/>
    </sheetView>
  </sheetViews>
  <sheetFormatPr defaultRowHeight="14.4" x14ac:dyDescent="0.3"/>
  <cols>
    <col min="1" max="2" width="16" bestFit="1" customWidth="1"/>
    <col min="3" max="3" width="55.21875" customWidth="1"/>
    <col min="4" max="4" width="14" customWidth="1"/>
    <col min="5" max="5" width="5.44140625" bestFit="1" customWidth="1"/>
    <col min="6" max="6" width="6.77734375" customWidth="1"/>
    <col min="7" max="7" width="13.44140625" bestFit="1" customWidth="1"/>
    <col min="8" max="8" width="12.44140625" bestFit="1" customWidth="1"/>
    <col min="9" max="9" width="18" style="14" customWidth="1"/>
    <col min="10" max="10" width="10.44140625" customWidth="1"/>
    <col min="11" max="11" width="9" customWidth="1"/>
  </cols>
  <sheetData>
    <row r="1" spans="1:11" x14ac:dyDescent="0.3">
      <c r="A1" s="30" t="s">
        <v>0</v>
      </c>
      <c r="B1" s="30" t="s">
        <v>15</v>
      </c>
      <c r="C1" s="30" t="s">
        <v>16</v>
      </c>
      <c r="D1" s="30" t="s">
        <v>17</v>
      </c>
      <c r="E1" s="30" t="s">
        <v>18</v>
      </c>
      <c r="F1" s="30" t="s">
        <v>3</v>
      </c>
      <c r="G1" s="30" t="s">
        <v>19</v>
      </c>
      <c r="H1" s="30" t="s">
        <v>20</v>
      </c>
      <c r="I1" s="31" t="s">
        <v>21</v>
      </c>
      <c r="J1" s="1" t="s">
        <v>22</v>
      </c>
      <c r="K1" s="1" t="s">
        <v>23</v>
      </c>
    </row>
    <row r="2" spans="1:11" x14ac:dyDescent="0.3">
      <c r="A2" s="7" t="s">
        <v>11</v>
      </c>
      <c r="B2" s="7" t="s">
        <v>24</v>
      </c>
      <c r="C2" s="7" t="s">
        <v>25</v>
      </c>
      <c r="D2" s="7" t="s">
        <v>26</v>
      </c>
      <c r="E2" s="15">
        <v>1500</v>
      </c>
      <c r="F2" s="7" t="s">
        <v>27</v>
      </c>
      <c r="G2" s="13">
        <v>108</v>
      </c>
      <c r="H2" s="7"/>
      <c r="I2" s="16">
        <f>E2*G2</f>
        <v>162000</v>
      </c>
      <c r="K2">
        <f>1500/162000</f>
        <v>9.2592592592592587E-3</v>
      </c>
    </row>
    <row r="3" spans="1:11" x14ac:dyDescent="0.3">
      <c r="A3" s="7" t="s">
        <v>11</v>
      </c>
      <c r="B3" s="7" t="s">
        <v>28</v>
      </c>
      <c r="C3" s="7" t="s">
        <v>29</v>
      </c>
      <c r="D3" s="7" t="s">
        <v>26</v>
      </c>
      <c r="E3" s="15">
        <v>1</v>
      </c>
      <c r="F3" s="7" t="s">
        <v>14</v>
      </c>
      <c r="G3" s="13">
        <v>14318.39</v>
      </c>
      <c r="H3" s="7"/>
      <c r="I3" s="16">
        <v>17361.84</v>
      </c>
    </row>
    <row r="4" spans="1:11" x14ac:dyDescent="0.3">
      <c r="A4" s="7" t="s">
        <v>11</v>
      </c>
      <c r="B4" s="7" t="s">
        <v>30</v>
      </c>
      <c r="C4" s="7" t="s">
        <v>31</v>
      </c>
      <c r="D4" s="7" t="s">
        <v>26</v>
      </c>
      <c r="E4" s="15">
        <v>2</v>
      </c>
      <c r="F4" s="7" t="s">
        <v>14</v>
      </c>
      <c r="G4" s="13">
        <v>14576.85</v>
      </c>
      <c r="H4" s="7"/>
      <c r="I4" s="16">
        <f t="shared" ref="I4:I27" si="0">E4*G4</f>
        <v>29153.7</v>
      </c>
    </row>
    <row r="5" spans="1:11" x14ac:dyDescent="0.3">
      <c r="A5" s="7" t="s">
        <v>11</v>
      </c>
      <c r="B5" s="7" t="s">
        <v>32</v>
      </c>
      <c r="C5" s="7" t="s">
        <v>33</v>
      </c>
      <c r="D5" s="7" t="s">
        <v>26</v>
      </c>
      <c r="E5" s="15">
        <v>1</v>
      </c>
      <c r="F5" s="7" t="s">
        <v>14</v>
      </c>
      <c r="G5" s="13">
        <v>13259.35</v>
      </c>
      <c r="H5" s="7"/>
      <c r="I5" s="16">
        <f t="shared" si="0"/>
        <v>13259.35</v>
      </c>
    </row>
    <row r="6" spans="1:11" x14ac:dyDescent="0.3">
      <c r="A6" s="7" t="s">
        <v>11</v>
      </c>
      <c r="B6" s="7" t="s">
        <v>34</v>
      </c>
      <c r="C6" s="7" t="s">
        <v>35</v>
      </c>
      <c r="D6" s="7" t="s">
        <v>26</v>
      </c>
      <c r="E6" s="15">
        <v>1</v>
      </c>
      <c r="F6" s="7" t="s">
        <v>14</v>
      </c>
      <c r="G6" s="13">
        <v>38148.699999999997</v>
      </c>
      <c r="H6" s="7"/>
      <c r="I6" s="16">
        <f t="shared" si="0"/>
        <v>38148.699999999997</v>
      </c>
    </row>
    <row r="7" spans="1:11" x14ac:dyDescent="0.3">
      <c r="A7" s="7" t="s">
        <v>11</v>
      </c>
      <c r="B7" s="7" t="s">
        <v>36</v>
      </c>
      <c r="C7" s="7" t="s">
        <v>37</v>
      </c>
      <c r="D7" s="7" t="s">
        <v>26</v>
      </c>
      <c r="E7" s="15">
        <v>1</v>
      </c>
      <c r="F7" s="7" t="s">
        <v>14</v>
      </c>
      <c r="G7" s="13">
        <v>2131.19</v>
      </c>
      <c r="H7" s="7"/>
      <c r="I7" s="16">
        <f t="shared" si="0"/>
        <v>2131.19</v>
      </c>
    </row>
    <row r="8" spans="1:11" x14ac:dyDescent="0.3">
      <c r="A8" s="7" t="s">
        <v>11</v>
      </c>
      <c r="B8" s="7" t="s">
        <v>38</v>
      </c>
      <c r="C8" s="7" t="s">
        <v>39</v>
      </c>
      <c r="D8" s="7" t="s">
        <v>40</v>
      </c>
      <c r="E8" s="15">
        <v>70</v>
      </c>
      <c r="F8" s="7" t="s">
        <v>41</v>
      </c>
      <c r="G8" s="13">
        <v>298.61</v>
      </c>
      <c r="H8" s="7"/>
      <c r="I8" s="16">
        <f t="shared" si="0"/>
        <v>20902.7</v>
      </c>
    </row>
    <row r="9" spans="1:11" x14ac:dyDescent="0.3">
      <c r="A9" s="7" t="s">
        <v>11</v>
      </c>
      <c r="B9" s="7" t="s">
        <v>42</v>
      </c>
      <c r="C9" s="7" t="s">
        <v>43</v>
      </c>
      <c r="D9" s="7" t="s">
        <v>40</v>
      </c>
      <c r="E9" s="15">
        <v>12</v>
      </c>
      <c r="F9" s="7" t="s">
        <v>14</v>
      </c>
      <c r="G9" s="13">
        <v>78.180000000000007</v>
      </c>
      <c r="H9" s="7"/>
      <c r="I9" s="16">
        <f t="shared" si="0"/>
        <v>938.16000000000008</v>
      </c>
    </row>
    <row r="10" spans="1:11" x14ac:dyDescent="0.3">
      <c r="A10" s="7" t="s">
        <v>11</v>
      </c>
      <c r="B10" s="7" t="s">
        <v>44</v>
      </c>
      <c r="C10" s="7" t="s">
        <v>45</v>
      </c>
      <c r="D10" s="7" t="s">
        <v>26</v>
      </c>
      <c r="E10" s="15">
        <v>1</v>
      </c>
      <c r="F10" s="7" t="s">
        <v>14</v>
      </c>
      <c r="G10" s="13">
        <v>840.1</v>
      </c>
      <c r="H10" s="7"/>
      <c r="I10" s="16">
        <f t="shared" si="0"/>
        <v>840.1</v>
      </c>
    </row>
    <row r="11" spans="1:11" x14ac:dyDescent="0.3">
      <c r="A11" s="7" t="s">
        <v>11</v>
      </c>
      <c r="B11" s="7" t="s">
        <v>46</v>
      </c>
      <c r="C11" s="7" t="s">
        <v>47</v>
      </c>
      <c r="D11" s="7" t="s">
        <v>40</v>
      </c>
      <c r="E11" s="15">
        <v>1</v>
      </c>
      <c r="F11" s="7" t="s">
        <v>14</v>
      </c>
      <c r="G11" s="13">
        <v>2196.1999999999998</v>
      </c>
      <c r="H11" s="7"/>
      <c r="I11" s="16">
        <f t="shared" si="0"/>
        <v>2196.1999999999998</v>
      </c>
    </row>
    <row r="12" spans="1:11" x14ac:dyDescent="0.3">
      <c r="A12" s="7" t="s">
        <v>11</v>
      </c>
      <c r="B12" s="7" t="s">
        <v>48</v>
      </c>
      <c r="C12" s="7" t="s">
        <v>49</v>
      </c>
      <c r="D12" s="7" t="s">
        <v>40</v>
      </c>
      <c r="E12" s="15">
        <v>1</v>
      </c>
      <c r="F12" s="7" t="s">
        <v>14</v>
      </c>
      <c r="G12" s="13">
        <v>517.48</v>
      </c>
      <c r="H12" s="7"/>
      <c r="I12" s="16">
        <f t="shared" si="0"/>
        <v>517.48</v>
      </c>
    </row>
    <row r="13" spans="1:11" x14ac:dyDescent="0.3">
      <c r="A13" s="7" t="s">
        <v>11</v>
      </c>
      <c r="B13" s="7" t="s">
        <v>50</v>
      </c>
      <c r="C13" s="7" t="s">
        <v>51</v>
      </c>
      <c r="D13" s="7" t="s">
        <v>26</v>
      </c>
      <c r="E13" s="15">
        <v>1</v>
      </c>
      <c r="F13" s="7" t="s">
        <v>14</v>
      </c>
      <c r="G13" s="13">
        <v>145.06</v>
      </c>
      <c r="H13" s="7"/>
      <c r="I13" s="16">
        <f t="shared" si="0"/>
        <v>145.06</v>
      </c>
    </row>
    <row r="14" spans="1:11" x14ac:dyDescent="0.3">
      <c r="A14" s="7" t="s">
        <v>11</v>
      </c>
      <c r="B14" s="7" t="s">
        <v>52</v>
      </c>
      <c r="C14" s="7" t="s">
        <v>53</v>
      </c>
      <c r="D14" s="7" t="s">
        <v>40</v>
      </c>
      <c r="E14" s="15">
        <v>1</v>
      </c>
      <c r="F14" s="7" t="s">
        <v>14</v>
      </c>
      <c r="G14" s="13">
        <v>55500</v>
      </c>
      <c r="H14" s="7"/>
      <c r="I14" s="16">
        <f t="shared" si="0"/>
        <v>55500</v>
      </c>
    </row>
    <row r="15" spans="1:11" x14ac:dyDescent="0.3">
      <c r="A15" s="7" t="s">
        <v>11</v>
      </c>
      <c r="B15" s="7" t="s">
        <v>54</v>
      </c>
      <c r="C15" s="7" t="s">
        <v>55</v>
      </c>
      <c r="D15" s="7" t="s">
        <v>26</v>
      </c>
      <c r="E15" s="15">
        <v>2</v>
      </c>
      <c r="F15" s="7" t="s">
        <v>14</v>
      </c>
      <c r="G15" s="13">
        <v>215.07</v>
      </c>
      <c r="H15" s="7"/>
      <c r="I15" s="16">
        <f t="shared" si="0"/>
        <v>430.14</v>
      </c>
    </row>
    <row r="16" spans="1:11" x14ac:dyDescent="0.3">
      <c r="A16" s="7" t="s">
        <v>11</v>
      </c>
      <c r="B16" s="7" t="s">
        <v>56</v>
      </c>
      <c r="C16" s="7" t="s">
        <v>57</v>
      </c>
      <c r="D16" s="7" t="s">
        <v>26</v>
      </c>
      <c r="E16" s="15">
        <v>1</v>
      </c>
      <c r="F16" s="7" t="s">
        <v>14</v>
      </c>
      <c r="G16" s="13">
        <v>30.22</v>
      </c>
      <c r="H16" s="7"/>
      <c r="I16" s="16">
        <f t="shared" si="0"/>
        <v>30.22</v>
      </c>
    </row>
    <row r="17" spans="1:9" x14ac:dyDescent="0.3">
      <c r="A17" s="7" t="s">
        <v>11</v>
      </c>
      <c r="B17" s="7" t="s">
        <v>58</v>
      </c>
      <c r="C17" s="7" t="s">
        <v>59</v>
      </c>
      <c r="D17" s="7" t="s">
        <v>26</v>
      </c>
      <c r="E17" s="15">
        <v>1</v>
      </c>
      <c r="F17" s="7" t="s">
        <v>14</v>
      </c>
      <c r="G17" s="13">
        <v>18649.32</v>
      </c>
      <c r="H17" s="7"/>
      <c r="I17" s="16">
        <f t="shared" si="0"/>
        <v>18649.32</v>
      </c>
    </row>
    <row r="19" spans="1:9" x14ac:dyDescent="0.3">
      <c r="A19" s="7" t="s">
        <v>279</v>
      </c>
      <c r="B19" s="4" t="s">
        <v>280</v>
      </c>
      <c r="C19" s="4" t="s">
        <v>12</v>
      </c>
      <c r="D19" s="7"/>
      <c r="E19" s="15">
        <v>1</v>
      </c>
      <c r="F19" s="7" t="s">
        <v>14</v>
      </c>
      <c r="G19" s="29">
        <v>322277.36</v>
      </c>
      <c r="H19" s="7"/>
      <c r="I19" s="16">
        <f t="shared" si="0"/>
        <v>322277.36</v>
      </c>
    </row>
    <row r="20" spans="1:9" x14ac:dyDescent="0.3">
      <c r="A20" s="7" t="s">
        <v>279</v>
      </c>
      <c r="B20" s="4" t="s">
        <v>281</v>
      </c>
      <c r="C20" s="4" t="s">
        <v>282</v>
      </c>
      <c r="D20" s="7"/>
      <c r="E20" s="15">
        <v>1</v>
      </c>
      <c r="F20" s="7" t="s">
        <v>14</v>
      </c>
      <c r="G20" s="29">
        <v>249651.62</v>
      </c>
      <c r="H20" s="7"/>
      <c r="I20" s="16">
        <f t="shared" si="0"/>
        <v>249651.62</v>
      </c>
    </row>
    <row r="21" spans="1:9" x14ac:dyDescent="0.3">
      <c r="A21" s="7" t="s">
        <v>279</v>
      </c>
      <c r="B21" s="4" t="s">
        <v>283</v>
      </c>
      <c r="C21" s="4" t="s">
        <v>284</v>
      </c>
      <c r="D21" s="7"/>
      <c r="E21" s="15">
        <v>1</v>
      </c>
      <c r="F21" s="7" t="s">
        <v>14</v>
      </c>
      <c r="G21" s="29">
        <v>435076.06</v>
      </c>
      <c r="H21" s="7"/>
      <c r="I21" s="16">
        <f t="shared" si="0"/>
        <v>435076.06</v>
      </c>
    </row>
    <row r="22" spans="1:9" x14ac:dyDescent="0.3">
      <c r="A22" s="7" t="s">
        <v>279</v>
      </c>
      <c r="B22" s="4" t="s">
        <v>285</v>
      </c>
      <c r="C22" s="4" t="s">
        <v>286</v>
      </c>
      <c r="D22" s="7"/>
      <c r="E22" s="15">
        <v>1</v>
      </c>
      <c r="F22" s="7" t="s">
        <v>14</v>
      </c>
      <c r="G22" s="29">
        <v>117000</v>
      </c>
      <c r="H22" s="7"/>
      <c r="I22" s="16">
        <f t="shared" si="0"/>
        <v>117000</v>
      </c>
    </row>
    <row r="23" spans="1:9" x14ac:dyDescent="0.3">
      <c r="A23" s="7" t="s">
        <v>279</v>
      </c>
      <c r="B23" s="4" t="s">
        <v>287</v>
      </c>
      <c r="C23" s="4" t="s">
        <v>288</v>
      </c>
      <c r="D23" s="7"/>
      <c r="E23" s="15">
        <v>1</v>
      </c>
      <c r="F23" s="7" t="s">
        <v>14</v>
      </c>
      <c r="G23" s="29">
        <v>23274.01</v>
      </c>
      <c r="H23" s="7"/>
      <c r="I23" s="16">
        <f t="shared" si="0"/>
        <v>23274.01</v>
      </c>
    </row>
    <row r="24" spans="1:9" x14ac:dyDescent="0.3">
      <c r="A24" s="7" t="s">
        <v>279</v>
      </c>
      <c r="B24" s="4" t="s">
        <v>289</v>
      </c>
      <c r="C24" s="4" t="s">
        <v>290</v>
      </c>
      <c r="D24" s="7"/>
      <c r="E24" s="15">
        <v>1</v>
      </c>
      <c r="F24" s="7" t="s">
        <v>14</v>
      </c>
      <c r="G24" s="29">
        <v>518804.68</v>
      </c>
      <c r="H24" s="7"/>
      <c r="I24" s="16">
        <f t="shared" si="0"/>
        <v>518804.68</v>
      </c>
    </row>
    <row r="25" spans="1:9" x14ac:dyDescent="0.3">
      <c r="A25" s="7" t="s">
        <v>279</v>
      </c>
      <c r="B25" s="4" t="s">
        <v>291</v>
      </c>
      <c r="C25" s="4" t="s">
        <v>292</v>
      </c>
      <c r="D25" s="7"/>
      <c r="E25" s="15">
        <v>1</v>
      </c>
      <c r="F25" s="7" t="s">
        <v>14</v>
      </c>
      <c r="G25" s="29">
        <v>59344.36</v>
      </c>
      <c r="H25" s="7"/>
      <c r="I25" s="16">
        <f t="shared" si="0"/>
        <v>59344.36</v>
      </c>
    </row>
    <row r="26" spans="1:9" x14ac:dyDescent="0.3">
      <c r="A26" s="7" t="s">
        <v>279</v>
      </c>
      <c r="B26" s="4" t="s">
        <v>293</v>
      </c>
      <c r="C26" s="4" t="s">
        <v>294</v>
      </c>
      <c r="D26" s="7"/>
      <c r="E26" s="15">
        <v>1</v>
      </c>
      <c r="F26" s="7" t="s">
        <v>14</v>
      </c>
      <c r="G26" s="29">
        <v>28375.599999999999</v>
      </c>
      <c r="H26" s="7"/>
      <c r="I26" s="16">
        <f t="shared" si="0"/>
        <v>28375.599999999999</v>
      </c>
    </row>
    <row r="27" spans="1:9" x14ac:dyDescent="0.3">
      <c r="A27" s="7" t="s">
        <v>279</v>
      </c>
      <c r="B27" s="4" t="s">
        <v>295</v>
      </c>
      <c r="C27" s="4" t="s">
        <v>296</v>
      </c>
      <c r="D27" s="7"/>
      <c r="E27" s="15">
        <v>1</v>
      </c>
      <c r="F27" s="7" t="s">
        <v>14</v>
      </c>
      <c r="G27" s="29">
        <v>17620.66</v>
      </c>
      <c r="H27" s="7"/>
      <c r="I27" s="16">
        <f t="shared" si="0"/>
        <v>17620.66</v>
      </c>
    </row>
    <row r="28" spans="1:9" x14ac:dyDescent="0.3">
      <c r="A28" s="7"/>
      <c r="B28" s="7"/>
      <c r="C28" s="7"/>
      <c r="D28" s="7"/>
      <c r="E28" s="15"/>
      <c r="F28" s="7"/>
      <c r="G28" s="13"/>
      <c r="H28" s="7"/>
      <c r="I28" s="16"/>
    </row>
    <row r="29" spans="1:9" x14ac:dyDescent="0.3">
      <c r="A29" s="7"/>
      <c r="B29" s="7"/>
      <c r="C29" s="7"/>
      <c r="D29" s="7"/>
      <c r="E29" s="15"/>
      <c r="F29" s="7"/>
      <c r="G29" s="13"/>
      <c r="H29" s="7"/>
      <c r="I29" s="16"/>
    </row>
    <row r="30" spans="1:9" x14ac:dyDescent="0.3">
      <c r="A30" s="7"/>
      <c r="B30" s="7"/>
      <c r="C30" s="7"/>
      <c r="D30" s="7"/>
      <c r="E30" s="15"/>
      <c r="F30" s="7"/>
      <c r="G30" s="13"/>
      <c r="H30" s="7"/>
      <c r="I30" s="16"/>
    </row>
    <row r="31" spans="1:9" x14ac:dyDescent="0.3">
      <c r="A31" s="7"/>
      <c r="B31" s="7"/>
      <c r="C31" s="7"/>
      <c r="D31" s="7"/>
      <c r="E31" s="15"/>
      <c r="F31" s="7"/>
      <c r="G31" s="13"/>
      <c r="H31" s="7"/>
      <c r="I31" s="16"/>
    </row>
    <row r="32" spans="1:9" x14ac:dyDescent="0.3">
      <c r="A32" s="7"/>
      <c r="B32" s="7"/>
      <c r="C32" s="7"/>
      <c r="D32" s="7"/>
      <c r="E32" s="15"/>
      <c r="F32" s="7"/>
      <c r="G32" s="13"/>
      <c r="H32" s="7"/>
      <c r="I32" s="16"/>
    </row>
    <row r="33" spans="1:9" x14ac:dyDescent="0.3">
      <c r="A33" s="7"/>
      <c r="B33" s="7"/>
      <c r="C33" s="7"/>
      <c r="D33" s="7"/>
      <c r="E33" s="15"/>
      <c r="F33" s="7"/>
      <c r="G33" s="13"/>
      <c r="H33" s="7"/>
      <c r="I33" s="16"/>
    </row>
    <row r="34" spans="1:9" x14ac:dyDescent="0.3">
      <c r="A34" s="7"/>
      <c r="B34" s="7"/>
      <c r="C34" s="7"/>
      <c r="D34" s="7"/>
      <c r="E34" s="15"/>
      <c r="F34" s="7"/>
      <c r="G34" s="13"/>
      <c r="H34" s="7"/>
      <c r="I34" s="16"/>
    </row>
  </sheetData>
  <dataValidations count="3">
    <dataValidation type="list" allowBlank="1" sqref="D11:D12 D18 D28:D29 D35:D497" xr:uid="{00000000-0002-0000-0100-000000000000}">
      <formula1>"Raw Material,Bought-Out,Consumable"</formula1>
    </dataValidation>
    <dataValidation type="list" allowBlank="1" sqref="D1:D10 D13:D17 D19:D27 D30:D34" xr:uid="{00000000-0002-0000-0100-000001000000}">
      <formula1>"Raw Material,Bought-Out,Consumable,Main Assembly"</formula1>
    </dataValidation>
    <dataValidation type="list" allowBlank="1" sqref="F2:F17 F19:F34" xr:uid="{00000000-0002-0000-0100-000002000000}">
      <formula1>"Nos,Kg,Set,Assembly,Mts"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pane xSplit="5" ySplit="1" topLeftCell="F12" activePane="bottomRight" state="frozen"/>
      <selection pane="topRight" activeCell="F1" sqref="F1"/>
      <selection pane="bottomLeft" activeCell="A2" sqref="A2"/>
      <selection pane="bottomRight" activeCell="G24" sqref="G24"/>
    </sheetView>
  </sheetViews>
  <sheetFormatPr defaultRowHeight="14.4" x14ac:dyDescent="0.3"/>
  <cols>
    <col min="1" max="1" width="17.21875" customWidth="1"/>
    <col min="2" max="2" width="28.5546875" bestFit="1" customWidth="1"/>
    <col min="3" max="3" width="17.88671875" style="21" hidden="1" customWidth="1"/>
    <col min="4" max="4" width="13" style="21" hidden="1" customWidth="1"/>
    <col min="5" max="5" width="25.77734375" style="40" bestFit="1" customWidth="1"/>
    <col min="6" max="6" width="12.77734375" style="40" bestFit="1" customWidth="1"/>
    <col min="7" max="7" width="13.44140625" style="40" bestFit="1" customWidth="1"/>
    <col min="8" max="8" width="58.5546875" customWidth="1"/>
    <col min="9" max="9" width="12.77734375" bestFit="1" customWidth="1"/>
  </cols>
  <sheetData>
    <row r="1" spans="1:11" s="45" customFormat="1" x14ac:dyDescent="0.3">
      <c r="A1" s="1" t="s">
        <v>0</v>
      </c>
      <c r="B1" s="30" t="s">
        <v>103</v>
      </c>
      <c r="C1" s="36" t="s">
        <v>326</v>
      </c>
      <c r="D1" s="36" t="s">
        <v>104</v>
      </c>
      <c r="E1" s="44" t="s">
        <v>328</v>
      </c>
      <c r="F1" s="44" t="s">
        <v>105</v>
      </c>
      <c r="G1" s="44" t="s">
        <v>106</v>
      </c>
      <c r="H1" s="1" t="s">
        <v>23</v>
      </c>
    </row>
    <row r="2" spans="1:11" x14ac:dyDescent="0.3">
      <c r="A2" s="35" t="s">
        <v>11</v>
      </c>
      <c r="B2" s="7" t="s">
        <v>107</v>
      </c>
      <c r="C2" s="22">
        <v>8</v>
      </c>
      <c r="D2" s="22">
        <v>250</v>
      </c>
      <c r="E2" s="42">
        <f>C2*D2</f>
        <v>2000</v>
      </c>
      <c r="F2" s="42">
        <v>2500</v>
      </c>
      <c r="G2" s="42">
        <v>2000</v>
      </c>
      <c r="H2" s="25"/>
      <c r="K2">
        <f>8*10*4</f>
        <v>320</v>
      </c>
    </row>
    <row r="3" spans="1:11" x14ac:dyDescent="0.3">
      <c r="A3" s="35" t="s">
        <v>11</v>
      </c>
      <c r="B3" s="7" t="s">
        <v>108</v>
      </c>
      <c r="C3" s="22">
        <v>10</v>
      </c>
      <c r="D3" s="22">
        <v>150</v>
      </c>
      <c r="E3" s="42">
        <f>C3*D3</f>
        <v>1500</v>
      </c>
      <c r="F3" s="42">
        <v>2500</v>
      </c>
      <c r="G3" s="42">
        <v>2500</v>
      </c>
      <c r="H3" s="25"/>
    </row>
    <row r="4" spans="1:11" s="21" customFormat="1" ht="72" x14ac:dyDescent="0.3">
      <c r="A4" s="38" t="s">
        <v>279</v>
      </c>
      <c r="B4" s="37" t="s">
        <v>298</v>
      </c>
      <c r="C4" s="22"/>
      <c r="D4" s="22"/>
      <c r="E4" s="42"/>
      <c r="G4" s="42"/>
      <c r="H4" s="43" t="s">
        <v>329</v>
      </c>
      <c r="I4" s="42">
        <v>140000</v>
      </c>
    </row>
    <row r="5" spans="1:11" s="20" customFormat="1" x14ac:dyDescent="0.3">
      <c r="A5" s="39" t="s">
        <v>279</v>
      </c>
      <c r="B5" s="34" t="s">
        <v>299</v>
      </c>
      <c r="C5" s="34"/>
      <c r="D5" s="34"/>
      <c r="E5" s="42">
        <v>30537.52</v>
      </c>
      <c r="F5" s="42"/>
      <c r="G5" s="42"/>
      <c r="H5" s="41"/>
    </row>
    <row r="6" spans="1:11" s="20" customFormat="1" x14ac:dyDescent="0.3">
      <c r="A6" s="39" t="s">
        <v>279</v>
      </c>
      <c r="B6" s="34" t="s">
        <v>300</v>
      </c>
      <c r="C6" s="34"/>
      <c r="D6" s="34"/>
      <c r="E6" s="42">
        <v>1442.66</v>
      </c>
      <c r="F6" s="42"/>
      <c r="G6" s="42"/>
      <c r="H6" s="41"/>
    </row>
    <row r="7" spans="1:11" s="20" customFormat="1" x14ac:dyDescent="0.3">
      <c r="A7" s="39" t="s">
        <v>279</v>
      </c>
      <c r="B7" s="34" t="s">
        <v>301</v>
      </c>
      <c r="C7" s="34"/>
      <c r="D7" s="34"/>
      <c r="E7" s="42">
        <v>1346.2</v>
      </c>
      <c r="F7" s="42"/>
      <c r="G7" s="42"/>
      <c r="H7" s="41"/>
    </row>
    <row r="8" spans="1:11" s="20" customFormat="1" x14ac:dyDescent="0.3">
      <c r="A8" s="39" t="s">
        <v>279</v>
      </c>
      <c r="B8" s="34" t="s">
        <v>302</v>
      </c>
      <c r="C8" s="34"/>
      <c r="D8" s="34"/>
      <c r="E8" s="42">
        <v>672.04</v>
      </c>
      <c r="F8" s="42"/>
      <c r="G8" s="42"/>
      <c r="H8" s="41"/>
    </row>
    <row r="9" spans="1:11" s="20" customFormat="1" x14ac:dyDescent="0.3">
      <c r="A9" s="39" t="s">
        <v>279</v>
      </c>
      <c r="B9" s="34" t="s">
        <v>303</v>
      </c>
      <c r="C9" s="34"/>
      <c r="D9" s="34"/>
      <c r="E9" s="42">
        <v>769.56</v>
      </c>
      <c r="F9" s="42"/>
      <c r="G9" s="42"/>
      <c r="H9" s="41"/>
    </row>
    <row r="10" spans="1:11" s="20" customFormat="1" x14ac:dyDescent="0.3">
      <c r="A10" s="39" t="s">
        <v>279</v>
      </c>
      <c r="B10" s="34" t="s">
        <v>304</v>
      </c>
      <c r="C10" s="34"/>
      <c r="D10" s="34"/>
      <c r="E10" s="42">
        <v>1002.76</v>
      </c>
      <c r="F10" s="42"/>
      <c r="G10" s="42"/>
      <c r="H10" s="41"/>
    </row>
    <row r="11" spans="1:11" s="20" customFormat="1" x14ac:dyDescent="0.3">
      <c r="A11" s="39" t="s">
        <v>279</v>
      </c>
      <c r="B11" s="34" t="s">
        <v>305</v>
      </c>
      <c r="C11" s="34"/>
      <c r="D11" s="34"/>
      <c r="E11" s="42">
        <v>627.52</v>
      </c>
      <c r="F11" s="42"/>
      <c r="G11" s="42"/>
      <c r="H11" s="41"/>
    </row>
    <row r="12" spans="1:11" s="20" customFormat="1" x14ac:dyDescent="0.3">
      <c r="A12" s="39" t="s">
        <v>279</v>
      </c>
      <c r="B12" s="34" t="s">
        <v>306</v>
      </c>
      <c r="C12" s="34"/>
      <c r="D12" s="34"/>
      <c r="E12" s="42">
        <v>526.82000000000005</v>
      </c>
      <c r="F12" s="42"/>
      <c r="G12" s="42"/>
      <c r="H12" s="41"/>
    </row>
    <row r="13" spans="1:11" s="20" customFormat="1" x14ac:dyDescent="0.3">
      <c r="A13" s="39" t="s">
        <v>279</v>
      </c>
      <c r="B13" s="34" t="s">
        <v>307</v>
      </c>
      <c r="C13" s="34"/>
      <c r="D13" s="34"/>
      <c r="E13" s="42">
        <v>395.38</v>
      </c>
      <c r="F13" s="42"/>
      <c r="G13" s="42"/>
      <c r="H13" s="41"/>
    </row>
    <row r="14" spans="1:11" s="20" customFormat="1" x14ac:dyDescent="0.3">
      <c r="A14" s="39" t="s">
        <v>279</v>
      </c>
      <c r="B14" s="34" t="s">
        <v>308</v>
      </c>
      <c r="C14" s="34"/>
      <c r="D14" s="34"/>
      <c r="E14" s="42">
        <v>969.9</v>
      </c>
      <c r="F14" s="42"/>
      <c r="G14" s="42"/>
      <c r="H14" s="41"/>
    </row>
    <row r="15" spans="1:11" s="20" customFormat="1" x14ac:dyDescent="0.3">
      <c r="A15" s="39" t="s">
        <v>279</v>
      </c>
      <c r="B15" s="34" t="s">
        <v>309</v>
      </c>
      <c r="C15" s="34"/>
      <c r="D15" s="34"/>
      <c r="E15" s="42">
        <v>1578.34</v>
      </c>
      <c r="F15" s="42"/>
      <c r="G15" s="42"/>
      <c r="H15" s="41"/>
    </row>
    <row r="16" spans="1:11" s="20" customFormat="1" x14ac:dyDescent="0.3">
      <c r="A16" s="39" t="s">
        <v>279</v>
      </c>
      <c r="B16" s="34" t="s">
        <v>310</v>
      </c>
      <c r="C16" s="34"/>
      <c r="D16" s="34"/>
      <c r="E16" s="42">
        <v>5000</v>
      </c>
      <c r="F16" s="42"/>
      <c r="G16" s="42"/>
      <c r="H16" s="41"/>
    </row>
    <row r="17" spans="1:9" s="20" customFormat="1" x14ac:dyDescent="0.3">
      <c r="A17" s="39" t="s">
        <v>279</v>
      </c>
      <c r="B17" s="34" t="s">
        <v>311</v>
      </c>
      <c r="C17" s="34"/>
      <c r="D17" s="34"/>
      <c r="E17" s="42">
        <v>2000</v>
      </c>
      <c r="F17" s="42"/>
      <c r="G17" s="42"/>
      <c r="H17" s="41"/>
    </row>
    <row r="18" spans="1:9" s="20" customFormat="1" x14ac:dyDescent="0.3">
      <c r="A18" s="39" t="s">
        <v>279</v>
      </c>
      <c r="B18" s="34" t="s">
        <v>312</v>
      </c>
      <c r="C18" s="34"/>
      <c r="D18" s="34"/>
      <c r="E18" s="42">
        <v>455.8</v>
      </c>
      <c r="F18" s="42"/>
      <c r="G18" s="42"/>
      <c r="H18" s="41"/>
    </row>
    <row r="19" spans="1:9" s="20" customFormat="1" x14ac:dyDescent="0.3">
      <c r="A19" s="39" t="s">
        <v>279</v>
      </c>
      <c r="B19" s="34" t="s">
        <v>313</v>
      </c>
      <c r="C19" s="34"/>
      <c r="D19" s="34"/>
      <c r="E19" s="42">
        <v>699.6</v>
      </c>
      <c r="F19" s="42"/>
      <c r="G19" s="42"/>
      <c r="H19" s="41"/>
    </row>
    <row r="20" spans="1:9" s="20" customFormat="1" ht="57.6" x14ac:dyDescent="0.3">
      <c r="A20" s="39" t="s">
        <v>279</v>
      </c>
      <c r="B20" s="34" t="s">
        <v>314</v>
      </c>
      <c r="C20" s="34"/>
      <c r="D20" s="34"/>
      <c r="E20" s="42">
        <v>63600</v>
      </c>
      <c r="F20" s="42"/>
      <c r="G20" s="42"/>
      <c r="H20" s="41"/>
    </row>
    <row r="21" spans="1:9" s="20" customFormat="1" x14ac:dyDescent="0.3">
      <c r="A21" s="39" t="s">
        <v>279</v>
      </c>
      <c r="B21" s="34" t="s">
        <v>315</v>
      </c>
      <c r="C21" s="34"/>
      <c r="D21" s="34"/>
      <c r="E21" s="42">
        <v>34500</v>
      </c>
      <c r="F21" s="42"/>
      <c r="G21" s="42"/>
      <c r="H21" s="41"/>
    </row>
    <row r="22" spans="1:9" s="20" customFormat="1" ht="57.6" x14ac:dyDescent="0.3">
      <c r="A22" s="39" t="s">
        <v>279</v>
      </c>
      <c r="B22" s="34" t="s">
        <v>322</v>
      </c>
      <c r="C22" s="34"/>
      <c r="D22" s="34"/>
      <c r="F22" s="42"/>
      <c r="G22" s="42"/>
      <c r="H22" s="41" t="s">
        <v>323</v>
      </c>
      <c r="I22" s="42">
        <v>35000</v>
      </c>
    </row>
    <row r="23" spans="1:9" s="20" customFormat="1" x14ac:dyDescent="0.3">
      <c r="A23" s="39" t="s">
        <v>279</v>
      </c>
      <c r="B23" s="34" t="s">
        <v>316</v>
      </c>
      <c r="C23" s="34"/>
      <c r="D23" s="34"/>
      <c r="E23" s="42">
        <v>1800</v>
      </c>
      <c r="F23" s="42"/>
      <c r="G23" s="42"/>
      <c r="H23" s="41" t="s">
        <v>324</v>
      </c>
    </row>
    <row r="24" spans="1:9" s="20" customFormat="1" ht="28.8" x14ac:dyDescent="0.3">
      <c r="A24" s="39" t="s">
        <v>279</v>
      </c>
      <c r="B24" s="34" t="s">
        <v>317</v>
      </c>
      <c r="C24" s="34"/>
      <c r="D24" s="34"/>
      <c r="E24" s="42">
        <v>12000</v>
      </c>
      <c r="F24" s="42"/>
      <c r="G24" s="42"/>
      <c r="H24" s="41"/>
    </row>
    <row r="25" spans="1:9" s="20" customFormat="1" x14ac:dyDescent="0.3">
      <c r="A25" s="39" t="s">
        <v>279</v>
      </c>
      <c r="B25" s="34" t="s">
        <v>318</v>
      </c>
      <c r="C25" s="34"/>
      <c r="D25" s="34"/>
      <c r="E25" s="42">
        <v>1500</v>
      </c>
      <c r="F25" s="42"/>
      <c r="G25" s="42"/>
      <c r="H25" s="41"/>
    </row>
    <row r="26" spans="1:9" s="20" customFormat="1" x14ac:dyDescent="0.3">
      <c r="A26" s="39" t="s">
        <v>279</v>
      </c>
      <c r="B26" s="34" t="s">
        <v>319</v>
      </c>
      <c r="C26" s="34"/>
      <c r="D26" s="34"/>
      <c r="E26" s="42">
        <v>1200</v>
      </c>
      <c r="F26" s="42"/>
      <c r="G26" s="42"/>
      <c r="H26" s="41"/>
    </row>
    <row r="27" spans="1:9" s="20" customFormat="1" ht="28.8" x14ac:dyDescent="0.3">
      <c r="A27" s="39" t="s">
        <v>279</v>
      </c>
      <c r="B27" s="34" t="s">
        <v>320</v>
      </c>
      <c r="C27" s="34"/>
      <c r="D27" s="34"/>
      <c r="E27" s="42">
        <v>800</v>
      </c>
      <c r="F27" s="42"/>
      <c r="G27" s="42"/>
      <c r="H27" s="41"/>
    </row>
    <row r="28" spans="1:9" s="20" customFormat="1" x14ac:dyDescent="0.3">
      <c r="A28" s="39" t="s">
        <v>279</v>
      </c>
      <c r="B28" s="34" t="s">
        <v>321</v>
      </c>
      <c r="C28" s="34"/>
      <c r="D28" s="34"/>
      <c r="E28" s="42">
        <v>500</v>
      </c>
      <c r="F28" s="42"/>
      <c r="G28" s="42"/>
      <c r="H28" s="41"/>
    </row>
    <row r="29" spans="1:9" s="20" customFormat="1" x14ac:dyDescent="0.3">
      <c r="A29" s="39" t="s">
        <v>279</v>
      </c>
      <c r="B29" s="34" t="s">
        <v>325</v>
      </c>
      <c r="C29" s="34"/>
      <c r="D29" s="34"/>
      <c r="E29" s="42">
        <v>4000</v>
      </c>
      <c r="F29" s="42"/>
      <c r="G29" s="42"/>
      <c r="H29" s="41"/>
    </row>
    <row r="30" spans="1:9" s="20" customFormat="1" x14ac:dyDescent="0.3">
      <c r="A30" s="39" t="s">
        <v>279</v>
      </c>
      <c r="B30" s="34" t="s">
        <v>311</v>
      </c>
      <c r="C30" s="34"/>
      <c r="D30" s="34"/>
      <c r="E30" s="42">
        <v>475</v>
      </c>
      <c r="F30" s="42"/>
      <c r="G30" s="42"/>
      <c r="H30" s="4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F1B5-AB93-4CE3-A276-B0FCCD990929}">
  <dimension ref="A1:G3"/>
  <sheetViews>
    <sheetView workbookViewId="0">
      <selection activeCell="E12" sqref="E12"/>
    </sheetView>
  </sheetViews>
  <sheetFormatPr defaultRowHeight="14.4" x14ac:dyDescent="0.3"/>
  <cols>
    <col min="1" max="1" width="16" bestFit="1" customWidth="1"/>
    <col min="2" max="2" width="8.5546875" bestFit="1" customWidth="1"/>
    <col min="3" max="3" width="17.88671875" bestFit="1" customWidth="1"/>
    <col min="4" max="4" width="10.33203125" bestFit="1" customWidth="1"/>
    <col min="5" max="5" width="11.88671875" bestFit="1" customWidth="1"/>
    <col min="6" max="6" width="15.21875" customWidth="1"/>
    <col min="7" max="7" width="15.77734375" customWidth="1"/>
  </cols>
  <sheetData>
    <row r="1" spans="1:7" x14ac:dyDescent="0.3">
      <c r="A1" s="1" t="s">
        <v>0</v>
      </c>
      <c r="B1" s="30" t="s">
        <v>103</v>
      </c>
      <c r="C1" s="36" t="s">
        <v>326</v>
      </c>
      <c r="D1" s="36" t="s">
        <v>104</v>
      </c>
      <c r="E1" s="44" t="s">
        <v>105</v>
      </c>
      <c r="F1" s="44" t="s">
        <v>106</v>
      </c>
      <c r="G1" s="1" t="s">
        <v>23</v>
      </c>
    </row>
    <row r="2" spans="1:7" x14ac:dyDescent="0.3">
      <c r="A2" s="46" t="s">
        <v>279</v>
      </c>
      <c r="B2" s="7" t="s">
        <v>107</v>
      </c>
      <c r="C2" s="22">
        <v>48</v>
      </c>
      <c r="D2" s="22">
        <v>480</v>
      </c>
      <c r="E2" s="42">
        <f>C2*D2</f>
        <v>23040</v>
      </c>
      <c r="F2" s="42">
        <v>5000</v>
      </c>
      <c r="G2" s="25"/>
    </row>
    <row r="3" spans="1:7" x14ac:dyDescent="0.3">
      <c r="A3" s="46" t="s">
        <v>279</v>
      </c>
      <c r="B3" s="7" t="s">
        <v>108</v>
      </c>
      <c r="C3" s="22">
        <v>60</v>
      </c>
      <c r="D3" s="22">
        <v>250</v>
      </c>
      <c r="E3" s="42">
        <f>C3*D3</f>
        <v>15000</v>
      </c>
      <c r="F3" s="42">
        <v>5500</v>
      </c>
      <c r="G3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E27-B654-4213-9400-1FEDB68D481E}">
  <dimension ref="A1:F18"/>
  <sheetViews>
    <sheetView workbookViewId="0">
      <selection activeCell="B19" sqref="B19"/>
    </sheetView>
  </sheetViews>
  <sheetFormatPr defaultColWidth="36.6640625" defaultRowHeight="14.4" x14ac:dyDescent="0.3"/>
  <cols>
    <col min="1" max="1" width="22.33203125" bestFit="1" customWidth="1"/>
    <col min="2" max="2" width="17.88671875" bestFit="1" customWidth="1"/>
    <col min="3" max="3" width="10.33203125" bestFit="1" customWidth="1"/>
    <col min="4" max="4" width="14.33203125" bestFit="1" customWidth="1"/>
    <col min="5" max="5" width="13.88671875" bestFit="1" customWidth="1"/>
    <col min="6" max="6" width="16.21875" bestFit="1" customWidth="1"/>
  </cols>
  <sheetData>
    <row r="1" spans="1:6" x14ac:dyDescent="0.3">
      <c r="A1" s="47" t="s">
        <v>103</v>
      </c>
      <c r="B1" s="47" t="s">
        <v>331</v>
      </c>
      <c r="C1" s="47" t="s">
        <v>332</v>
      </c>
      <c r="D1" s="47" t="s">
        <v>333</v>
      </c>
      <c r="E1" s="47" t="s">
        <v>334</v>
      </c>
      <c r="F1" s="47" t="s">
        <v>335</v>
      </c>
    </row>
    <row r="2" spans="1:6" x14ac:dyDescent="0.3">
      <c r="A2" s="2" t="s">
        <v>336</v>
      </c>
      <c r="B2" s="2">
        <v>120</v>
      </c>
      <c r="C2" s="2">
        <v>550</v>
      </c>
      <c r="D2" s="33">
        <v>66000</v>
      </c>
      <c r="E2" s="33">
        <v>35000</v>
      </c>
      <c r="F2" s="33">
        <v>12000</v>
      </c>
    </row>
    <row r="3" spans="1:6" x14ac:dyDescent="0.3">
      <c r="A3" s="2" t="s">
        <v>337</v>
      </c>
      <c r="B3" s="2">
        <v>140</v>
      </c>
      <c r="C3" s="2">
        <v>600</v>
      </c>
      <c r="D3" s="33">
        <v>84000</v>
      </c>
      <c r="E3" s="33">
        <v>42000</v>
      </c>
      <c r="F3" s="33">
        <v>15000</v>
      </c>
    </row>
    <row r="4" spans="1:6" x14ac:dyDescent="0.3">
      <c r="A4" s="2" t="s">
        <v>338</v>
      </c>
      <c r="B4" s="2">
        <v>80</v>
      </c>
      <c r="C4" s="2">
        <v>700</v>
      </c>
      <c r="D4" s="33">
        <v>56000</v>
      </c>
      <c r="E4" s="33">
        <v>28000</v>
      </c>
      <c r="F4" s="33">
        <v>10000</v>
      </c>
    </row>
    <row r="5" spans="1:6" x14ac:dyDescent="0.3">
      <c r="A5" s="2" t="s">
        <v>339</v>
      </c>
      <c r="B5" s="2">
        <v>95</v>
      </c>
      <c r="C5" s="2">
        <v>500</v>
      </c>
      <c r="D5" s="33">
        <v>47500</v>
      </c>
      <c r="E5" s="33">
        <v>25000</v>
      </c>
      <c r="F5" s="33">
        <v>8000</v>
      </c>
    </row>
    <row r="6" spans="1:6" x14ac:dyDescent="0.3">
      <c r="A6" s="2" t="s">
        <v>340</v>
      </c>
      <c r="B6" s="2">
        <v>40</v>
      </c>
      <c r="C6" s="2">
        <v>500</v>
      </c>
      <c r="D6" s="33">
        <v>20000</v>
      </c>
      <c r="E6" s="33">
        <v>10000</v>
      </c>
      <c r="F6" s="33">
        <v>3500</v>
      </c>
    </row>
    <row r="7" spans="1:6" x14ac:dyDescent="0.3">
      <c r="A7" s="2" t="s">
        <v>341</v>
      </c>
      <c r="B7" s="2">
        <v>45</v>
      </c>
      <c r="C7" s="2">
        <v>500</v>
      </c>
      <c r="D7" s="33">
        <v>22500</v>
      </c>
      <c r="E7" s="33">
        <v>11000</v>
      </c>
      <c r="F7" s="33">
        <v>4000</v>
      </c>
    </row>
    <row r="8" spans="1:6" x14ac:dyDescent="0.3">
      <c r="A8" s="2" t="s">
        <v>342</v>
      </c>
      <c r="B8" s="2">
        <v>55</v>
      </c>
      <c r="C8" s="2">
        <v>600</v>
      </c>
      <c r="D8" s="33">
        <v>33000</v>
      </c>
      <c r="E8" s="33">
        <v>15000</v>
      </c>
      <c r="F8" s="33">
        <v>5500</v>
      </c>
    </row>
    <row r="9" spans="1:6" x14ac:dyDescent="0.3">
      <c r="A9" s="2" t="s">
        <v>343</v>
      </c>
      <c r="B9" s="2">
        <v>60</v>
      </c>
      <c r="C9" s="2">
        <v>500</v>
      </c>
      <c r="D9" s="33">
        <v>30000</v>
      </c>
      <c r="E9" s="33">
        <v>14000</v>
      </c>
      <c r="F9" s="33">
        <v>5000</v>
      </c>
    </row>
    <row r="10" spans="1:6" x14ac:dyDescent="0.3">
      <c r="A10" s="2" t="s">
        <v>344</v>
      </c>
      <c r="B10" s="2">
        <v>48</v>
      </c>
      <c r="C10" s="2">
        <v>500</v>
      </c>
      <c r="D10" s="33">
        <v>24000</v>
      </c>
      <c r="E10" s="33">
        <v>12000</v>
      </c>
      <c r="F10" s="33">
        <v>4000</v>
      </c>
    </row>
    <row r="11" spans="1:6" x14ac:dyDescent="0.3">
      <c r="A11" s="2" t="s">
        <v>345</v>
      </c>
      <c r="B11" s="2">
        <v>78</v>
      </c>
      <c r="C11" s="2">
        <v>680</v>
      </c>
      <c r="D11" s="33">
        <v>53100</v>
      </c>
      <c r="E11" s="33">
        <v>36500</v>
      </c>
      <c r="F11" s="2" t="s">
        <v>346</v>
      </c>
    </row>
    <row r="12" spans="1:6" x14ac:dyDescent="0.3">
      <c r="A12" s="2" t="s">
        <v>347</v>
      </c>
      <c r="B12" s="2">
        <v>36</v>
      </c>
      <c r="C12" s="2">
        <v>450</v>
      </c>
      <c r="D12" s="33">
        <v>16200</v>
      </c>
      <c r="E12" s="33">
        <v>9000</v>
      </c>
      <c r="F12" s="33">
        <v>2500</v>
      </c>
    </row>
    <row r="13" spans="1:6" x14ac:dyDescent="0.3">
      <c r="A13" s="2" t="s">
        <v>348</v>
      </c>
      <c r="B13" s="2">
        <v>32</v>
      </c>
      <c r="C13" s="2">
        <v>450</v>
      </c>
      <c r="D13" s="33">
        <v>14400</v>
      </c>
      <c r="E13" s="33">
        <v>8000</v>
      </c>
      <c r="F13" s="33">
        <v>2000</v>
      </c>
    </row>
    <row r="14" spans="1:6" x14ac:dyDescent="0.3">
      <c r="A14" s="2" t="s">
        <v>349</v>
      </c>
      <c r="B14" s="2">
        <v>50</v>
      </c>
      <c r="C14" s="2">
        <v>500</v>
      </c>
      <c r="D14" s="33">
        <v>25000</v>
      </c>
      <c r="E14" s="33">
        <v>13000</v>
      </c>
      <c r="F14" s="33">
        <v>4500</v>
      </c>
    </row>
    <row r="15" spans="1:6" x14ac:dyDescent="0.3">
      <c r="A15" s="2" t="s">
        <v>350</v>
      </c>
      <c r="B15" s="2">
        <v>60</v>
      </c>
      <c r="C15" s="2">
        <v>400</v>
      </c>
      <c r="D15" s="33">
        <v>24000</v>
      </c>
      <c r="E15" s="33">
        <v>12000</v>
      </c>
      <c r="F15" s="33">
        <v>4000</v>
      </c>
    </row>
    <row r="16" spans="1:6" x14ac:dyDescent="0.3">
      <c r="A16" s="2" t="s">
        <v>351</v>
      </c>
      <c r="B16" s="2">
        <v>40</v>
      </c>
      <c r="C16" s="2">
        <v>600</v>
      </c>
      <c r="D16" s="33">
        <v>24000</v>
      </c>
      <c r="E16" s="33">
        <v>10000</v>
      </c>
      <c r="F16" s="33">
        <v>5000</v>
      </c>
    </row>
    <row r="17" spans="1:6" x14ac:dyDescent="0.3">
      <c r="A17" s="2" t="s">
        <v>352</v>
      </c>
      <c r="B17" s="2">
        <v>24</v>
      </c>
      <c r="C17" s="2">
        <v>450</v>
      </c>
      <c r="D17" s="33">
        <v>10800</v>
      </c>
      <c r="E17" s="33">
        <v>6000</v>
      </c>
      <c r="F17" s="33">
        <v>2000</v>
      </c>
    </row>
    <row r="18" spans="1:6" x14ac:dyDescent="0.3">
      <c r="B18">
        <f>SUM(B2:B17)</f>
        <v>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75"/>
  <sheetViews>
    <sheetView topLeftCell="A2" workbookViewId="0">
      <selection activeCell="C5" sqref="C5:C14"/>
    </sheetView>
  </sheetViews>
  <sheetFormatPr defaultRowHeight="14.4" x14ac:dyDescent="0.3"/>
  <cols>
    <col min="2" max="2" width="6" bestFit="1" customWidth="1"/>
    <col min="3" max="3" width="40.33203125" customWidth="1"/>
    <col min="4" max="4" width="6.21875" customWidth="1"/>
    <col min="5" max="5" width="12.88671875" customWidth="1"/>
    <col min="6" max="6" width="6" bestFit="1" customWidth="1"/>
    <col min="7" max="7" width="28.77734375" customWidth="1"/>
    <col min="8" max="8" width="9.21875" customWidth="1"/>
    <col min="10" max="10" width="24.6640625" customWidth="1"/>
    <col min="11" max="11" width="27.77734375" customWidth="1"/>
  </cols>
  <sheetData>
    <row r="3" spans="2:12" ht="18" x14ac:dyDescent="0.35">
      <c r="B3" s="53" t="s">
        <v>60</v>
      </c>
      <c r="C3" s="54"/>
      <c r="D3" s="55"/>
      <c r="F3" s="53" t="s">
        <v>61</v>
      </c>
      <c r="G3" s="54"/>
      <c r="H3" s="55"/>
      <c r="J3" s="56" t="s">
        <v>353</v>
      </c>
      <c r="K3" s="57"/>
      <c r="L3" s="57"/>
    </row>
    <row r="4" spans="2:12" x14ac:dyDescent="0.3">
      <c r="B4" s="18" t="s">
        <v>62</v>
      </c>
      <c r="C4" s="18" t="s">
        <v>63</v>
      </c>
      <c r="D4" s="18" t="s">
        <v>64</v>
      </c>
      <c r="F4" s="18" t="s">
        <v>62</v>
      </c>
      <c r="G4" s="18" t="s">
        <v>63</v>
      </c>
      <c r="H4" s="18" t="s">
        <v>64</v>
      </c>
      <c r="J4" s="37" t="s">
        <v>354</v>
      </c>
      <c r="K4" s="32" t="s">
        <v>355</v>
      </c>
      <c r="L4" s="37" t="s">
        <v>64</v>
      </c>
    </row>
    <row r="5" spans="2:12" x14ac:dyDescent="0.3">
      <c r="B5" s="19">
        <v>1</v>
      </c>
      <c r="C5" s="19" t="s">
        <v>65</v>
      </c>
      <c r="D5" s="19">
        <v>2</v>
      </c>
      <c r="F5" s="22">
        <v>1</v>
      </c>
      <c r="G5" s="22" t="s">
        <v>66</v>
      </c>
      <c r="H5" s="22" t="s">
        <v>67</v>
      </c>
      <c r="J5" s="22">
        <v>1</v>
      </c>
      <c r="K5" s="7" t="s">
        <v>356</v>
      </c>
      <c r="L5" s="22">
        <v>4</v>
      </c>
    </row>
    <row r="6" spans="2:12" x14ac:dyDescent="0.3">
      <c r="B6" s="19">
        <v>2</v>
      </c>
      <c r="C6" s="19" t="s">
        <v>68</v>
      </c>
      <c r="D6" s="19">
        <v>2</v>
      </c>
      <c r="F6" s="22">
        <v>2</v>
      </c>
      <c r="G6" s="22" t="s">
        <v>69</v>
      </c>
      <c r="H6" s="22" t="s">
        <v>70</v>
      </c>
      <c r="J6" s="22">
        <v>2</v>
      </c>
      <c r="K6" s="7" t="s">
        <v>357</v>
      </c>
      <c r="L6" s="22">
        <v>1</v>
      </c>
    </row>
    <row r="7" spans="2:12" x14ac:dyDescent="0.3">
      <c r="B7" s="19">
        <v>3</v>
      </c>
      <c r="C7" s="19" t="s">
        <v>71</v>
      </c>
      <c r="D7" s="19">
        <v>1</v>
      </c>
      <c r="F7" s="22">
        <v>3</v>
      </c>
      <c r="G7" s="22" t="s">
        <v>72</v>
      </c>
      <c r="H7" s="22" t="s">
        <v>73</v>
      </c>
      <c r="J7" s="22">
        <v>3</v>
      </c>
      <c r="K7" s="7" t="s">
        <v>358</v>
      </c>
      <c r="L7" s="22">
        <v>1</v>
      </c>
    </row>
    <row r="8" spans="2:12" x14ac:dyDescent="0.3">
      <c r="B8" s="19">
        <v>4</v>
      </c>
      <c r="C8" s="19" t="s">
        <v>74</v>
      </c>
      <c r="D8" s="19">
        <v>1</v>
      </c>
      <c r="F8" s="22">
        <v>4</v>
      </c>
      <c r="G8" s="22" t="s">
        <v>75</v>
      </c>
      <c r="H8" s="22" t="s">
        <v>76</v>
      </c>
      <c r="J8" s="22"/>
      <c r="K8" s="7"/>
      <c r="L8" s="22"/>
    </row>
    <row r="9" spans="2:12" ht="18" x14ac:dyDescent="0.35">
      <c r="B9" s="19">
        <v>5</v>
      </c>
      <c r="C9" s="19" t="s">
        <v>77</v>
      </c>
      <c r="D9" s="19">
        <v>1</v>
      </c>
      <c r="F9" s="22">
        <v>5</v>
      </c>
      <c r="G9" s="22" t="s">
        <v>78</v>
      </c>
      <c r="H9" s="22" t="s">
        <v>79</v>
      </c>
      <c r="J9" s="48" t="s">
        <v>359</v>
      </c>
      <c r="K9" s="51"/>
      <c r="L9" s="52"/>
    </row>
    <row r="10" spans="2:12" x14ac:dyDescent="0.3">
      <c r="B10" s="19">
        <v>6</v>
      </c>
      <c r="C10" s="19" t="s">
        <v>80</v>
      </c>
      <c r="D10" s="19">
        <v>1</v>
      </c>
      <c r="F10" s="22">
        <v>6</v>
      </c>
      <c r="G10" s="22" t="s">
        <v>81</v>
      </c>
      <c r="H10" s="22" t="s">
        <v>82</v>
      </c>
      <c r="J10" s="22">
        <v>1</v>
      </c>
      <c r="K10" s="7" t="s">
        <v>360</v>
      </c>
      <c r="L10" s="22">
        <v>2</v>
      </c>
    </row>
    <row r="11" spans="2:12" x14ac:dyDescent="0.3">
      <c r="B11" s="19">
        <v>7</v>
      </c>
      <c r="C11" s="19" t="s">
        <v>83</v>
      </c>
      <c r="D11" s="19">
        <v>1</v>
      </c>
      <c r="F11" s="22">
        <v>7</v>
      </c>
      <c r="G11" s="22" t="s">
        <v>84</v>
      </c>
      <c r="H11" s="22" t="s">
        <v>85</v>
      </c>
      <c r="J11" s="22">
        <v>2</v>
      </c>
      <c r="K11" s="7" t="s">
        <v>361</v>
      </c>
      <c r="L11" s="22">
        <v>4</v>
      </c>
    </row>
    <row r="12" spans="2:12" x14ac:dyDescent="0.3">
      <c r="B12" s="19">
        <v>8</v>
      </c>
      <c r="C12" s="19" t="s">
        <v>86</v>
      </c>
      <c r="D12" s="19">
        <v>1</v>
      </c>
      <c r="F12" s="22">
        <v>8</v>
      </c>
      <c r="G12" s="22" t="s">
        <v>87</v>
      </c>
      <c r="H12" s="22" t="s">
        <v>73</v>
      </c>
      <c r="J12" s="22"/>
      <c r="K12" s="7"/>
      <c r="L12" s="22"/>
    </row>
    <row r="13" spans="2:12" ht="18" x14ac:dyDescent="0.35">
      <c r="B13" s="19">
        <v>9</v>
      </c>
      <c r="C13" s="19" t="s">
        <v>88</v>
      </c>
      <c r="D13" s="19">
        <v>1</v>
      </c>
      <c r="F13" s="22">
        <v>9</v>
      </c>
      <c r="G13" s="22" t="s">
        <v>89</v>
      </c>
      <c r="H13" s="22"/>
      <c r="J13" s="48" t="s">
        <v>362</v>
      </c>
      <c r="K13" s="51"/>
      <c r="L13" s="52"/>
    </row>
    <row r="14" spans="2:12" x14ac:dyDescent="0.3">
      <c r="B14" s="19">
        <v>10</v>
      </c>
      <c r="C14" s="19" t="s">
        <v>90</v>
      </c>
      <c r="D14" s="19">
        <v>1</v>
      </c>
      <c r="F14" s="22">
        <v>10</v>
      </c>
      <c r="G14" s="22" t="s">
        <v>91</v>
      </c>
      <c r="H14" s="22">
        <v>12</v>
      </c>
      <c r="J14" s="22">
        <v>1</v>
      </c>
      <c r="K14" s="7" t="s">
        <v>363</v>
      </c>
      <c r="L14" s="22">
        <v>1</v>
      </c>
    </row>
    <row r="15" spans="2:12" x14ac:dyDescent="0.3">
      <c r="B15" s="23"/>
      <c r="C15" s="23"/>
      <c r="D15" s="23"/>
      <c r="F15" s="22">
        <v>11</v>
      </c>
      <c r="G15" s="22" t="s">
        <v>92</v>
      </c>
      <c r="H15" s="22" t="s">
        <v>93</v>
      </c>
      <c r="J15" s="22">
        <v>2</v>
      </c>
      <c r="K15" s="7" t="s">
        <v>364</v>
      </c>
      <c r="L15" s="22">
        <v>1</v>
      </c>
    </row>
    <row r="16" spans="2:12" x14ac:dyDescent="0.3">
      <c r="B16" s="23"/>
      <c r="C16" s="23"/>
      <c r="D16" s="23"/>
      <c r="F16" s="22">
        <v>12</v>
      </c>
      <c r="G16" s="22" t="s">
        <v>94</v>
      </c>
      <c r="H16" s="22" t="s">
        <v>85</v>
      </c>
      <c r="J16" s="22">
        <v>3</v>
      </c>
      <c r="K16" s="7" t="s">
        <v>365</v>
      </c>
      <c r="L16" s="22">
        <v>1</v>
      </c>
    </row>
    <row r="17" spans="2:12" x14ac:dyDescent="0.3">
      <c r="B17" s="20"/>
      <c r="C17" s="20"/>
      <c r="D17" s="20"/>
      <c r="F17" s="21"/>
      <c r="G17" s="21"/>
      <c r="H17" s="21"/>
      <c r="J17" s="22">
        <v>4</v>
      </c>
      <c r="K17" s="7" t="s">
        <v>366</v>
      </c>
      <c r="L17" s="22">
        <v>1</v>
      </c>
    </row>
    <row r="18" spans="2:12" x14ac:dyDescent="0.3">
      <c r="B18" s="53" t="s">
        <v>95</v>
      </c>
      <c r="C18" s="54"/>
      <c r="D18" s="55"/>
      <c r="J18" s="22">
        <v>5</v>
      </c>
      <c r="K18" s="7" t="s">
        <v>367</v>
      </c>
      <c r="L18" s="22">
        <v>2</v>
      </c>
    </row>
    <row r="19" spans="2:12" x14ac:dyDescent="0.3">
      <c r="B19" s="18" t="s">
        <v>62</v>
      </c>
      <c r="C19" s="18" t="s">
        <v>63</v>
      </c>
      <c r="D19" s="18" t="s">
        <v>64</v>
      </c>
      <c r="J19" s="22">
        <v>6</v>
      </c>
      <c r="K19" s="7" t="s">
        <v>368</v>
      </c>
      <c r="L19" s="22">
        <v>2</v>
      </c>
    </row>
    <row r="20" spans="2:12" x14ac:dyDescent="0.3">
      <c r="B20" s="19">
        <v>1</v>
      </c>
      <c r="C20" s="19" t="s">
        <v>96</v>
      </c>
      <c r="D20" s="19">
        <v>3</v>
      </c>
      <c r="J20" s="22">
        <v>7</v>
      </c>
      <c r="K20" s="7" t="s">
        <v>369</v>
      </c>
      <c r="L20" s="22">
        <v>1</v>
      </c>
    </row>
    <row r="21" spans="2:12" x14ac:dyDescent="0.3">
      <c r="B21" s="19">
        <v>2</v>
      </c>
      <c r="C21" s="19" t="s">
        <v>97</v>
      </c>
      <c r="D21" s="19">
        <v>3</v>
      </c>
      <c r="J21" s="22">
        <v>8</v>
      </c>
      <c r="K21" s="7" t="s">
        <v>370</v>
      </c>
      <c r="L21" s="22">
        <v>1</v>
      </c>
    </row>
    <row r="22" spans="2:12" x14ac:dyDescent="0.3">
      <c r="B22" s="19">
        <v>3</v>
      </c>
      <c r="C22" s="19" t="s">
        <v>98</v>
      </c>
      <c r="D22" s="19">
        <v>2</v>
      </c>
      <c r="J22" s="22">
        <v>9</v>
      </c>
      <c r="K22" s="7" t="s">
        <v>371</v>
      </c>
      <c r="L22" s="22">
        <v>1</v>
      </c>
    </row>
    <row r="23" spans="2:12" x14ac:dyDescent="0.3">
      <c r="B23" s="19">
        <v>4</v>
      </c>
      <c r="C23" s="19" t="s">
        <v>99</v>
      </c>
      <c r="D23" s="19">
        <v>1</v>
      </c>
      <c r="J23" s="22">
        <v>10</v>
      </c>
      <c r="K23" s="7" t="s">
        <v>372</v>
      </c>
      <c r="L23" s="22">
        <v>1</v>
      </c>
    </row>
    <row r="24" spans="2:12" x14ac:dyDescent="0.3">
      <c r="B24" s="19">
        <v>5</v>
      </c>
      <c r="C24" s="19" t="s">
        <v>100</v>
      </c>
      <c r="D24" s="19">
        <v>2</v>
      </c>
      <c r="J24" s="22">
        <v>11</v>
      </c>
      <c r="K24" s="7" t="s">
        <v>373</v>
      </c>
      <c r="L24" s="22">
        <v>1</v>
      </c>
    </row>
    <row r="25" spans="2:12" x14ac:dyDescent="0.3">
      <c r="B25" s="19">
        <v>6</v>
      </c>
      <c r="C25" s="19" t="s">
        <v>101</v>
      </c>
      <c r="D25" s="19">
        <v>4</v>
      </c>
      <c r="J25" s="22">
        <v>12</v>
      </c>
      <c r="K25" s="7" t="s">
        <v>374</v>
      </c>
      <c r="L25" s="22">
        <v>1</v>
      </c>
    </row>
    <row r="26" spans="2:12" x14ac:dyDescent="0.3">
      <c r="B26" s="19">
        <v>7</v>
      </c>
      <c r="C26" s="19" t="s">
        <v>102</v>
      </c>
      <c r="D26" s="19">
        <v>1</v>
      </c>
      <c r="J26" s="22">
        <v>13</v>
      </c>
      <c r="K26" s="7" t="s">
        <v>375</v>
      </c>
      <c r="L26" s="22">
        <v>1</v>
      </c>
    </row>
    <row r="27" spans="2:12" x14ac:dyDescent="0.3">
      <c r="J27" s="22"/>
      <c r="K27" s="7"/>
      <c r="L27" s="22"/>
    </row>
    <row r="28" spans="2:12" ht="18" x14ac:dyDescent="0.35">
      <c r="J28" s="48" t="s">
        <v>376</v>
      </c>
      <c r="K28" s="51"/>
      <c r="L28" s="52"/>
    </row>
    <row r="29" spans="2:12" x14ac:dyDescent="0.3">
      <c r="J29" s="37" t="s">
        <v>354</v>
      </c>
      <c r="K29" s="32" t="s">
        <v>355</v>
      </c>
      <c r="L29" s="37" t="s">
        <v>64</v>
      </c>
    </row>
    <row r="30" spans="2:12" x14ac:dyDescent="0.3">
      <c r="J30" s="22">
        <v>1</v>
      </c>
      <c r="K30" s="7" t="s">
        <v>377</v>
      </c>
      <c r="L30" s="22">
        <v>8</v>
      </c>
    </row>
    <row r="31" spans="2:12" x14ac:dyDescent="0.3">
      <c r="J31" s="22"/>
      <c r="K31" s="7"/>
      <c r="L31" s="22"/>
    </row>
    <row r="32" spans="2:12" ht="18" x14ac:dyDescent="0.35">
      <c r="J32" s="48" t="s">
        <v>359</v>
      </c>
      <c r="K32" s="49"/>
      <c r="L32" s="50"/>
    </row>
    <row r="33" spans="10:12" x14ac:dyDescent="0.3">
      <c r="J33" s="37" t="s">
        <v>354</v>
      </c>
      <c r="K33" s="32" t="s">
        <v>355</v>
      </c>
      <c r="L33" s="37" t="s">
        <v>64</v>
      </c>
    </row>
    <row r="34" spans="10:12" x14ac:dyDescent="0.3">
      <c r="J34" s="22">
        <v>1</v>
      </c>
      <c r="K34" s="7" t="s">
        <v>378</v>
      </c>
      <c r="L34" s="22">
        <v>6</v>
      </c>
    </row>
    <row r="35" spans="10:12" x14ac:dyDescent="0.3">
      <c r="J35" s="22">
        <v>2</v>
      </c>
      <c r="K35" s="7" t="s">
        <v>379</v>
      </c>
      <c r="L35" s="22">
        <v>3</v>
      </c>
    </row>
    <row r="36" spans="10:12" x14ac:dyDescent="0.3">
      <c r="J36" s="22"/>
      <c r="K36" s="7"/>
      <c r="L36" s="22"/>
    </row>
    <row r="37" spans="10:12" ht="18" x14ac:dyDescent="0.35">
      <c r="J37" s="48" t="s">
        <v>380</v>
      </c>
      <c r="K37" s="49"/>
      <c r="L37" s="50"/>
    </row>
    <row r="38" spans="10:12" x14ac:dyDescent="0.3">
      <c r="J38" s="37" t="s">
        <v>354</v>
      </c>
      <c r="K38" s="32" t="s">
        <v>355</v>
      </c>
      <c r="L38" s="37" t="s">
        <v>64</v>
      </c>
    </row>
    <row r="39" spans="10:12" x14ac:dyDescent="0.3">
      <c r="J39" s="22">
        <v>1</v>
      </c>
      <c r="K39" s="7" t="s">
        <v>381</v>
      </c>
      <c r="L39" s="22">
        <v>8</v>
      </c>
    </row>
    <row r="40" spans="10:12" x14ac:dyDescent="0.3">
      <c r="J40" s="22">
        <v>2</v>
      </c>
      <c r="K40" s="7" t="s">
        <v>382</v>
      </c>
      <c r="L40" s="22">
        <v>4</v>
      </c>
    </row>
    <row r="41" spans="10:12" x14ac:dyDescent="0.3">
      <c r="J41" s="22"/>
      <c r="K41" s="7"/>
      <c r="L41" s="22"/>
    </row>
    <row r="42" spans="10:12" ht="18" x14ac:dyDescent="0.35">
      <c r="J42" s="48" t="s">
        <v>383</v>
      </c>
      <c r="K42" s="51"/>
      <c r="L42" s="52"/>
    </row>
    <row r="43" spans="10:12" x14ac:dyDescent="0.3">
      <c r="J43" s="37" t="s">
        <v>354</v>
      </c>
      <c r="K43" s="32" t="s">
        <v>355</v>
      </c>
      <c r="L43" s="37" t="s">
        <v>64</v>
      </c>
    </row>
    <row r="44" spans="10:12" x14ac:dyDescent="0.3">
      <c r="J44" s="22">
        <v>1</v>
      </c>
      <c r="K44" s="7" t="s">
        <v>384</v>
      </c>
      <c r="L44" s="22">
        <v>1</v>
      </c>
    </row>
    <row r="45" spans="10:12" x14ac:dyDescent="0.3">
      <c r="J45" s="22">
        <v>2</v>
      </c>
      <c r="K45" s="7" t="s">
        <v>385</v>
      </c>
      <c r="L45" s="22">
        <v>1</v>
      </c>
    </row>
    <row r="46" spans="10:12" ht="18" x14ac:dyDescent="0.35">
      <c r="J46" s="48" t="s">
        <v>359</v>
      </c>
      <c r="K46" s="49"/>
      <c r="L46" s="50"/>
    </row>
    <row r="47" spans="10:12" x14ac:dyDescent="0.3">
      <c r="J47" s="37" t="s">
        <v>354</v>
      </c>
      <c r="K47" s="32" t="s">
        <v>355</v>
      </c>
      <c r="L47" s="37" t="s">
        <v>64</v>
      </c>
    </row>
    <row r="48" spans="10:12" x14ac:dyDescent="0.3">
      <c r="J48" s="22">
        <v>1</v>
      </c>
      <c r="K48" s="7" t="s">
        <v>386</v>
      </c>
      <c r="L48" s="22">
        <v>4</v>
      </c>
    </row>
    <row r="49" spans="10:12" x14ac:dyDescent="0.3">
      <c r="J49" s="22"/>
      <c r="K49" s="7"/>
      <c r="L49" s="22"/>
    </row>
    <row r="50" spans="10:12" ht="18" x14ac:dyDescent="0.35">
      <c r="J50" s="48" t="s">
        <v>387</v>
      </c>
      <c r="K50" s="49"/>
      <c r="L50" s="50"/>
    </row>
    <row r="51" spans="10:12" ht="18" x14ac:dyDescent="0.35">
      <c r="J51" s="48" t="s">
        <v>388</v>
      </c>
      <c r="K51" s="49"/>
      <c r="L51" s="50"/>
    </row>
    <row r="52" spans="10:12" x14ac:dyDescent="0.3">
      <c r="J52" s="37" t="s">
        <v>354</v>
      </c>
      <c r="K52" s="32" t="s">
        <v>355</v>
      </c>
      <c r="L52" s="37" t="s">
        <v>64</v>
      </c>
    </row>
    <row r="53" spans="10:12" x14ac:dyDescent="0.3">
      <c r="J53" s="22">
        <v>1</v>
      </c>
      <c r="K53" s="7" t="s">
        <v>389</v>
      </c>
      <c r="L53" s="22">
        <v>1</v>
      </c>
    </row>
    <row r="54" spans="10:12" x14ac:dyDescent="0.3">
      <c r="J54" s="22">
        <v>2</v>
      </c>
      <c r="K54" s="7" t="s">
        <v>390</v>
      </c>
      <c r="L54" s="22">
        <v>1</v>
      </c>
    </row>
    <row r="55" spans="10:12" x14ac:dyDescent="0.3">
      <c r="J55" s="22"/>
      <c r="K55" s="7"/>
      <c r="L55" s="22"/>
    </row>
    <row r="56" spans="10:12" ht="18" x14ac:dyDescent="0.35">
      <c r="J56" s="48" t="s">
        <v>391</v>
      </c>
      <c r="K56" s="49"/>
      <c r="L56" s="50"/>
    </row>
    <row r="57" spans="10:12" x14ac:dyDescent="0.3">
      <c r="J57" s="37" t="s">
        <v>354</v>
      </c>
      <c r="K57" s="32" t="s">
        <v>355</v>
      </c>
      <c r="L57" s="37" t="s">
        <v>64</v>
      </c>
    </row>
    <row r="58" spans="10:12" x14ac:dyDescent="0.3">
      <c r="J58" s="22">
        <v>1</v>
      </c>
      <c r="K58" s="7" t="s">
        <v>392</v>
      </c>
      <c r="L58" s="22">
        <v>4</v>
      </c>
    </row>
    <row r="59" spans="10:12" x14ac:dyDescent="0.3">
      <c r="J59" s="22"/>
      <c r="K59" s="7"/>
      <c r="L59" s="22"/>
    </row>
    <row r="60" spans="10:12" ht="18" x14ac:dyDescent="0.35">
      <c r="J60" s="48" t="s">
        <v>393</v>
      </c>
      <c r="K60" s="49"/>
      <c r="L60" s="50"/>
    </row>
    <row r="61" spans="10:12" x14ac:dyDescent="0.3">
      <c r="J61" s="37" t="s">
        <v>354</v>
      </c>
      <c r="K61" s="32" t="s">
        <v>355</v>
      </c>
      <c r="L61" s="37" t="s">
        <v>64</v>
      </c>
    </row>
    <row r="62" spans="10:12" x14ac:dyDescent="0.3">
      <c r="J62" s="22">
        <v>1</v>
      </c>
      <c r="K62" s="7" t="s">
        <v>394</v>
      </c>
      <c r="L62" s="22">
        <v>1</v>
      </c>
    </row>
    <row r="63" spans="10:12" x14ac:dyDescent="0.3">
      <c r="J63" s="22">
        <v>2</v>
      </c>
      <c r="K63" s="7" t="s">
        <v>395</v>
      </c>
      <c r="L63" s="22">
        <v>1</v>
      </c>
    </row>
    <row r="64" spans="10:12" x14ac:dyDescent="0.3">
      <c r="J64" s="22">
        <v>3</v>
      </c>
      <c r="K64" s="7" t="s">
        <v>396</v>
      </c>
      <c r="L64" s="22">
        <v>3</v>
      </c>
    </row>
    <row r="65" spans="10:12" x14ac:dyDescent="0.3">
      <c r="J65" s="22">
        <v>4</v>
      </c>
      <c r="K65" s="7" t="s">
        <v>397</v>
      </c>
      <c r="L65" s="22">
        <v>1</v>
      </c>
    </row>
    <row r="66" spans="10:12" x14ac:dyDescent="0.3">
      <c r="J66" s="22"/>
      <c r="K66" s="7"/>
      <c r="L66" s="22"/>
    </row>
    <row r="67" spans="10:12" ht="18" x14ac:dyDescent="0.35">
      <c r="J67" s="48" t="s">
        <v>398</v>
      </c>
      <c r="K67" s="49"/>
      <c r="L67" s="50"/>
    </row>
    <row r="68" spans="10:12" x14ac:dyDescent="0.3">
      <c r="J68" s="37" t="s">
        <v>354</v>
      </c>
      <c r="K68" s="32" t="s">
        <v>355</v>
      </c>
      <c r="L68" s="37" t="s">
        <v>64</v>
      </c>
    </row>
    <row r="69" spans="10:12" x14ac:dyDescent="0.3">
      <c r="J69" s="22">
        <v>1</v>
      </c>
      <c r="K69" s="7" t="s">
        <v>399</v>
      </c>
      <c r="L69" s="22">
        <v>2</v>
      </c>
    </row>
    <row r="70" spans="10:12" x14ac:dyDescent="0.3">
      <c r="J70" s="22">
        <v>2</v>
      </c>
      <c r="K70" s="7" t="s">
        <v>400</v>
      </c>
      <c r="L70" s="22">
        <v>1</v>
      </c>
    </row>
    <row r="71" spans="10:12" x14ac:dyDescent="0.3">
      <c r="J71" s="22">
        <v>3</v>
      </c>
      <c r="K71" s="7" t="s">
        <v>401</v>
      </c>
      <c r="L71" s="22">
        <v>1</v>
      </c>
    </row>
    <row r="72" spans="10:12" x14ac:dyDescent="0.3">
      <c r="J72" s="22">
        <v>4</v>
      </c>
      <c r="K72" s="7" t="s">
        <v>402</v>
      </c>
      <c r="L72" s="22">
        <v>1</v>
      </c>
    </row>
    <row r="73" spans="10:12" x14ac:dyDescent="0.3">
      <c r="J73" s="22">
        <v>5</v>
      </c>
      <c r="K73" s="7" t="s">
        <v>403</v>
      </c>
      <c r="L73" s="22">
        <v>1</v>
      </c>
    </row>
    <row r="74" spans="10:12" x14ac:dyDescent="0.3">
      <c r="J74" s="22">
        <v>6</v>
      </c>
      <c r="K74" s="7" t="s">
        <v>404</v>
      </c>
      <c r="L74" s="22">
        <v>1</v>
      </c>
    </row>
    <row r="75" spans="10:12" x14ac:dyDescent="0.3">
      <c r="J75" s="22">
        <v>7</v>
      </c>
      <c r="K75" s="7" t="s">
        <v>405</v>
      </c>
      <c r="L75" s="22">
        <v>5</v>
      </c>
    </row>
  </sheetData>
  <mergeCells count="16">
    <mergeCell ref="F3:H3"/>
    <mergeCell ref="B3:D3"/>
    <mergeCell ref="B18:D18"/>
    <mergeCell ref="J3:L3"/>
    <mergeCell ref="J9:L9"/>
    <mergeCell ref="J13:L13"/>
    <mergeCell ref="J28:L28"/>
    <mergeCell ref="J32:L32"/>
    <mergeCell ref="J37:L37"/>
    <mergeCell ref="J42:L42"/>
    <mergeCell ref="J46:L46"/>
    <mergeCell ref="J50:L50"/>
    <mergeCell ref="J51:L51"/>
    <mergeCell ref="J56:L56"/>
    <mergeCell ref="J60:L60"/>
    <mergeCell ref="J67:L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4" sqref="D4"/>
    </sheetView>
  </sheetViews>
  <sheetFormatPr defaultRowHeight="14.4" x14ac:dyDescent="0.3"/>
  <cols>
    <col min="1" max="1" width="16" bestFit="1" customWidth="1"/>
    <col min="2" max="2" width="18.21875" bestFit="1" customWidth="1"/>
    <col min="3" max="3" width="14.5546875" bestFit="1" customWidth="1"/>
    <col min="4" max="4" width="17" bestFit="1" customWidth="1"/>
    <col min="5" max="5" width="15.21875" bestFit="1" customWidth="1"/>
    <col min="6" max="6" width="15.33203125" bestFit="1" customWidth="1"/>
    <col min="7" max="7" width="14.77734375" bestFit="1" customWidth="1"/>
    <col min="8" max="8" width="17" bestFit="1" customWidth="1"/>
  </cols>
  <sheetData>
    <row r="1" spans="1:8" x14ac:dyDescent="0.3">
      <c r="A1" s="30" t="s">
        <v>0</v>
      </c>
      <c r="B1" s="30" t="s">
        <v>109</v>
      </c>
      <c r="C1" s="30" t="s">
        <v>110</v>
      </c>
      <c r="D1" s="30" t="s">
        <v>111</v>
      </c>
      <c r="E1" s="30" t="s">
        <v>112</v>
      </c>
      <c r="F1" s="30" t="s">
        <v>113</v>
      </c>
      <c r="G1" s="30" t="s">
        <v>8</v>
      </c>
      <c r="H1" s="30" t="s">
        <v>114</v>
      </c>
    </row>
    <row r="2" spans="1:8" x14ac:dyDescent="0.3">
      <c r="A2" s="7" t="s">
        <v>11</v>
      </c>
      <c r="B2" s="7">
        <f>VLOOKUP(A2,Master_Data!A:L,5,FALSE)</f>
        <v>362204.15999999997</v>
      </c>
      <c r="C2" s="7">
        <f>VLOOKUP(A2,Master_Data!A:L,6,FALSE)</f>
        <v>3500</v>
      </c>
      <c r="D2" s="7">
        <f>VLOOKUP(A2,Master_Data!A:L,7,FALSE)</f>
        <v>0</v>
      </c>
      <c r="E2" s="7">
        <f>VLOOKUP(A2,Master_Data!A:L,8,FALSE)</f>
        <v>5000</v>
      </c>
      <c r="F2" s="7">
        <f>VLOOKUP(A2,Master_Data!A:L,9,FALSE)</f>
        <v>4500</v>
      </c>
      <c r="G2" s="7">
        <f>VLOOKUP(A2,Master_Data!A:L,10,FALSE)</f>
        <v>375204.16</v>
      </c>
      <c r="H2" s="7">
        <f>VLOOKUP(A2,Master_Data!A:L,11,FALSE)</f>
        <v>0</v>
      </c>
    </row>
    <row r="3" spans="1:8" x14ac:dyDescent="0.3">
      <c r="A3" s="28" t="s">
        <v>279</v>
      </c>
      <c r="B3" s="7">
        <f>VLOOKUP(A3,Master_Data!A:L,5,FALSE)</f>
        <v>1771424.35</v>
      </c>
      <c r="C3" s="7">
        <f>VLOOKUP(A3,Master_Data!A:L,6,FALSE)</f>
        <v>168399.09999999998</v>
      </c>
      <c r="D3" s="7">
        <f>VLOOKUP(A3,Master_Data!A:L,7,FALSE)</f>
        <v>76697</v>
      </c>
      <c r="E3" s="7">
        <f>VLOOKUP(A3,Master_Data!A:L,8,FALSE)</f>
        <v>38040</v>
      </c>
      <c r="F3" s="7">
        <f>VLOOKUP(A3,Master_Data!A:L,9,FALSE)</f>
        <v>10500</v>
      </c>
      <c r="G3" s="7">
        <f>VLOOKUP(A3,Master_Data!A:L,10,FALSE)</f>
        <v>2065060.4500000002</v>
      </c>
      <c r="H3" s="7">
        <f>VLOOKUP(A3,Master_Data!A:L,11,FALSE)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1" sqref="C11"/>
    </sheetView>
  </sheetViews>
  <sheetFormatPr defaultRowHeight="14.4" x14ac:dyDescent="0.3"/>
  <cols>
    <col min="1" max="1" width="10" customWidth="1"/>
    <col min="2" max="2" width="16" bestFit="1" customWidth="1"/>
    <col min="3" max="3" width="15" customWidth="1"/>
    <col min="4" max="4" width="13" customWidth="1"/>
    <col min="5" max="5" width="17" customWidth="1"/>
    <col min="6" max="6" width="20" customWidth="1"/>
    <col min="7" max="7" width="8" customWidth="1"/>
    <col min="8" max="8" width="13" customWidth="1"/>
    <col min="9" max="9" width="7" customWidth="1"/>
    <col min="10" max="10" width="8" customWidth="1"/>
  </cols>
  <sheetData>
    <row r="1" spans="1:10" x14ac:dyDescent="0.3">
      <c r="A1" s="30" t="s">
        <v>115</v>
      </c>
      <c r="B1" s="30" t="s">
        <v>0</v>
      </c>
      <c r="C1" s="30" t="s">
        <v>116</v>
      </c>
      <c r="D1" s="30" t="s">
        <v>117</v>
      </c>
      <c r="E1" s="30" t="s">
        <v>118</v>
      </c>
      <c r="F1" s="30" t="s">
        <v>119</v>
      </c>
      <c r="G1" s="30" t="s">
        <v>120</v>
      </c>
      <c r="H1" s="30" t="s">
        <v>121</v>
      </c>
      <c r="I1" s="30" t="s">
        <v>122</v>
      </c>
      <c r="J1" s="30" t="s">
        <v>123</v>
      </c>
    </row>
    <row r="2" spans="1:10" x14ac:dyDescent="0.3">
      <c r="A2" s="7" t="s">
        <v>124</v>
      </c>
      <c r="B2" s="7" t="s">
        <v>11</v>
      </c>
      <c r="C2" s="7">
        <v>371704.16</v>
      </c>
      <c r="D2" s="7"/>
      <c r="E2" s="7">
        <f>D2-C2</f>
        <v>-371704.16</v>
      </c>
      <c r="F2" s="7">
        <f>IFERROR(E2/C2,"")</f>
        <v>-1</v>
      </c>
      <c r="G2" s="7"/>
      <c r="H2" s="7"/>
      <c r="I2" s="7"/>
      <c r="J2" s="7"/>
    </row>
    <row r="3" spans="1:10" x14ac:dyDescent="0.3">
      <c r="A3" s="7" t="s">
        <v>327</v>
      </c>
      <c r="B3" s="28" t="s">
        <v>279</v>
      </c>
      <c r="C3" s="7"/>
      <c r="D3" s="7"/>
      <c r="E3" s="7"/>
      <c r="F3" s="7"/>
      <c r="G3" s="7"/>
      <c r="H3" s="7"/>
      <c r="I3" s="7"/>
      <c r="J3" s="7"/>
    </row>
  </sheetData>
  <phoneticPr fontId="7" type="noConversion"/>
  <dataValidations count="1">
    <dataValidation type="list" allowBlank="1" sqref="J2:J500" xr:uid="{00000000-0002-0000-0500-000000000000}">
      <formula1>"Open,Closed,In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8" sqref="D8"/>
    </sheetView>
  </sheetViews>
  <sheetFormatPr defaultRowHeight="14.4" x14ac:dyDescent="0.3"/>
  <cols>
    <col min="1" max="1" width="22" customWidth="1"/>
    <col min="2" max="2" width="14" customWidth="1"/>
    <col min="3" max="4" width="12.77734375" bestFit="1" customWidth="1"/>
    <col min="5" max="5" width="13.33203125" bestFit="1" customWidth="1"/>
    <col min="6" max="6" width="15.21875" bestFit="1" customWidth="1"/>
    <col min="7" max="7" width="12" customWidth="1"/>
    <col min="8" max="8" width="10" customWidth="1"/>
    <col min="9" max="9" width="7" customWidth="1"/>
    <col min="10" max="10" width="8" customWidth="1"/>
    <col min="11" max="11" width="9" customWidth="1"/>
  </cols>
  <sheetData>
    <row r="1" spans="1:11" x14ac:dyDescent="0.3">
      <c r="A1" s="1" t="s">
        <v>125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122</v>
      </c>
      <c r="J1" s="1" t="s">
        <v>123</v>
      </c>
      <c r="K1" s="1" t="s">
        <v>23</v>
      </c>
    </row>
    <row r="2" spans="1:11" x14ac:dyDescent="0.3">
      <c r="A2" t="s">
        <v>132</v>
      </c>
      <c r="B2" t="s">
        <v>11</v>
      </c>
      <c r="C2" s="40">
        <v>469000</v>
      </c>
      <c r="D2" s="40">
        <v>580000</v>
      </c>
      <c r="E2" s="40">
        <f>C2-D2</f>
        <v>-111000</v>
      </c>
      <c r="F2">
        <f>IFERROR(E2/C2,"")</f>
        <v>-0.23667377398720682</v>
      </c>
    </row>
  </sheetData>
  <dataValidations count="1">
    <dataValidation type="list" allowBlank="1" sqref="J2:J500" xr:uid="{00000000-0002-0000-0600-000000000000}">
      <formula1>"Open,Closed,In Progress"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49"/>
  <sheetViews>
    <sheetView workbookViewId="0">
      <selection activeCell="F10" sqref="F10"/>
    </sheetView>
  </sheetViews>
  <sheetFormatPr defaultRowHeight="14.4" x14ac:dyDescent="0.3"/>
  <cols>
    <col min="2" max="2" width="42.44140625" customWidth="1"/>
    <col min="3" max="3" width="28.5546875" customWidth="1"/>
    <col min="4" max="4" width="28.33203125" bestFit="1" customWidth="1"/>
    <col min="6" max="6" width="46" bestFit="1" customWidth="1"/>
  </cols>
  <sheetData>
    <row r="1" spans="2:6" ht="18" customHeight="1" x14ac:dyDescent="0.3">
      <c r="B1" t="s">
        <v>133</v>
      </c>
      <c r="F1" s="11" t="s">
        <v>134</v>
      </c>
    </row>
    <row r="2" spans="2:6" x14ac:dyDescent="0.3">
      <c r="B2" t="s">
        <v>135</v>
      </c>
      <c r="F2" s="12" t="s">
        <v>136</v>
      </c>
    </row>
    <row r="3" spans="2:6" ht="18" customHeight="1" x14ac:dyDescent="0.3">
      <c r="B3" t="s">
        <v>137</v>
      </c>
      <c r="F3" s="11" t="s">
        <v>138</v>
      </c>
    </row>
    <row r="4" spans="2:6" x14ac:dyDescent="0.3">
      <c r="B4" t="s">
        <v>135</v>
      </c>
      <c r="F4" s="12" t="s">
        <v>139</v>
      </c>
    </row>
    <row r="5" spans="2:6" x14ac:dyDescent="0.3">
      <c r="B5" t="s">
        <v>140</v>
      </c>
      <c r="F5" s="12" t="s">
        <v>141</v>
      </c>
    </row>
    <row r="6" spans="2:6" ht="18" customHeight="1" x14ac:dyDescent="0.3">
      <c r="B6" t="s">
        <v>135</v>
      </c>
      <c r="F6" s="11" t="s">
        <v>142</v>
      </c>
    </row>
    <row r="7" spans="2:6" x14ac:dyDescent="0.3">
      <c r="B7" t="s">
        <v>143</v>
      </c>
      <c r="F7" s="12" t="s">
        <v>144</v>
      </c>
    </row>
    <row r="8" spans="2:6" x14ac:dyDescent="0.3">
      <c r="B8" t="s">
        <v>135</v>
      </c>
      <c r="F8" s="12" t="s">
        <v>145</v>
      </c>
    </row>
    <row r="9" spans="2:6" ht="18" customHeight="1" x14ac:dyDescent="0.3">
      <c r="B9" t="s">
        <v>146</v>
      </c>
      <c r="F9" s="11" t="s">
        <v>147</v>
      </c>
    </row>
    <row r="10" spans="2:6" x14ac:dyDescent="0.3">
      <c r="B10" t="s">
        <v>135</v>
      </c>
      <c r="F10" s="12" t="s">
        <v>148</v>
      </c>
    </row>
    <row r="11" spans="2:6" x14ac:dyDescent="0.3">
      <c r="B11" t="s">
        <v>149</v>
      </c>
      <c r="F11" s="12" t="s">
        <v>150</v>
      </c>
    </row>
    <row r="12" spans="2:6" x14ac:dyDescent="0.3">
      <c r="B12" t="s">
        <v>135</v>
      </c>
    </row>
    <row r="13" spans="2:6" x14ac:dyDescent="0.3">
      <c r="B13" t="s">
        <v>151</v>
      </c>
    </row>
    <row r="15" spans="2:6" x14ac:dyDescent="0.3">
      <c r="B15" s="8" t="s">
        <v>152</v>
      </c>
      <c r="C15" s="8" t="s">
        <v>153</v>
      </c>
      <c r="D15" s="8" t="s">
        <v>154</v>
      </c>
    </row>
    <row r="16" spans="2:6" ht="15" customHeight="1" x14ac:dyDescent="0.3">
      <c r="B16" s="2" t="s">
        <v>155</v>
      </c>
      <c r="C16" s="9" t="s">
        <v>156</v>
      </c>
      <c r="D16" s="10" t="s">
        <v>157</v>
      </c>
      <c r="F16" s="12"/>
    </row>
    <row r="17" spans="2:4" ht="15" customHeight="1" x14ac:dyDescent="0.3">
      <c r="B17" s="4" t="s">
        <v>158</v>
      </c>
      <c r="C17" s="3" t="s">
        <v>159</v>
      </c>
      <c r="D17" s="4" t="s">
        <v>160</v>
      </c>
    </row>
    <row r="18" spans="2:4" ht="15" customHeight="1" x14ac:dyDescent="0.3">
      <c r="B18" s="4" t="s">
        <v>161</v>
      </c>
      <c r="C18" s="3" t="s">
        <v>162</v>
      </c>
      <c r="D18" s="4" t="s">
        <v>163</v>
      </c>
    </row>
    <row r="19" spans="2:4" ht="15" customHeight="1" x14ac:dyDescent="0.3">
      <c r="B19" s="4" t="s">
        <v>164</v>
      </c>
      <c r="C19" s="3" t="s">
        <v>165</v>
      </c>
      <c r="D19" s="4" t="s">
        <v>166</v>
      </c>
    </row>
    <row r="20" spans="2:4" ht="15" customHeight="1" x14ac:dyDescent="0.3">
      <c r="B20" s="4" t="s">
        <v>167</v>
      </c>
      <c r="C20" s="3" t="s">
        <v>168</v>
      </c>
      <c r="D20" s="4" t="s">
        <v>169</v>
      </c>
    </row>
    <row r="21" spans="2:4" ht="15" customHeight="1" x14ac:dyDescent="0.3">
      <c r="B21" s="4" t="s">
        <v>170</v>
      </c>
      <c r="C21" s="3" t="s">
        <v>171</v>
      </c>
      <c r="D21" s="4" t="s">
        <v>172</v>
      </c>
    </row>
    <row r="23" spans="2:4" ht="15" customHeight="1" x14ac:dyDescent="0.3">
      <c r="B23" s="7" t="s">
        <v>173</v>
      </c>
      <c r="C23" s="3" t="s">
        <v>174</v>
      </c>
      <c r="D23" s="4" t="s">
        <v>175</v>
      </c>
    </row>
    <row r="24" spans="2:4" ht="15" customHeight="1" x14ac:dyDescent="0.3">
      <c r="C24" s="3" t="s">
        <v>176</v>
      </c>
      <c r="D24" s="4" t="s">
        <v>177</v>
      </c>
    </row>
    <row r="25" spans="2:4" ht="15" customHeight="1" x14ac:dyDescent="0.3">
      <c r="C25" s="3" t="s">
        <v>178</v>
      </c>
      <c r="D25" s="4" t="s">
        <v>179</v>
      </c>
    </row>
    <row r="26" spans="2:4" ht="15" customHeight="1" x14ac:dyDescent="0.3">
      <c r="C26" s="5" t="s">
        <v>180</v>
      </c>
      <c r="D26" s="6" t="s">
        <v>181</v>
      </c>
    </row>
    <row r="27" spans="2:4" ht="15" customHeight="1" x14ac:dyDescent="0.3">
      <c r="B27" s="7" t="s">
        <v>182</v>
      </c>
      <c r="C27" s="3" t="s">
        <v>183</v>
      </c>
      <c r="D27" s="4" t="s">
        <v>184</v>
      </c>
    </row>
    <row r="28" spans="2:4" ht="15" customHeight="1" x14ac:dyDescent="0.3">
      <c r="C28" s="3" t="s">
        <v>185</v>
      </c>
      <c r="D28" s="4" t="s">
        <v>186</v>
      </c>
    </row>
    <row r="29" spans="2:4" ht="15" customHeight="1" x14ac:dyDescent="0.3">
      <c r="C29" s="3" t="s">
        <v>187</v>
      </c>
      <c r="D29" s="4" t="s">
        <v>188</v>
      </c>
    </row>
    <row r="31" spans="2:4" ht="15" customHeight="1" x14ac:dyDescent="0.3">
      <c r="B31" s="7" t="s">
        <v>189</v>
      </c>
      <c r="C31" s="3" t="s">
        <v>190</v>
      </c>
      <c r="D31" s="4" t="s">
        <v>191</v>
      </c>
    </row>
    <row r="32" spans="2:4" ht="15" customHeight="1" x14ac:dyDescent="0.3">
      <c r="C32" s="3" t="s">
        <v>192</v>
      </c>
      <c r="D32" s="4" t="s">
        <v>193</v>
      </c>
    </row>
    <row r="33" spans="2:4" ht="15" customHeight="1" x14ac:dyDescent="0.3">
      <c r="C33" s="3" t="s">
        <v>194</v>
      </c>
      <c r="D33" s="4" t="s">
        <v>195</v>
      </c>
    </row>
    <row r="35" spans="2:4" ht="15" customHeight="1" x14ac:dyDescent="0.3">
      <c r="B35" s="7" t="s">
        <v>196</v>
      </c>
      <c r="C35" s="3" t="s">
        <v>197</v>
      </c>
      <c r="D35" s="4" t="s">
        <v>198</v>
      </c>
    </row>
    <row r="36" spans="2:4" ht="15" customHeight="1" x14ac:dyDescent="0.3">
      <c r="C36" s="3" t="s">
        <v>199</v>
      </c>
      <c r="D36" s="4" t="s">
        <v>200</v>
      </c>
    </row>
    <row r="37" spans="2:4" ht="15" customHeight="1" x14ac:dyDescent="0.3">
      <c r="C37" s="3" t="s">
        <v>201</v>
      </c>
      <c r="D37" s="4" t="s">
        <v>202</v>
      </c>
    </row>
    <row r="38" spans="2:4" ht="15" customHeight="1" x14ac:dyDescent="0.3">
      <c r="C38" s="3" t="s">
        <v>203</v>
      </c>
      <c r="D38" s="4" t="s">
        <v>204</v>
      </c>
    </row>
    <row r="40" spans="2:4" ht="15" customHeight="1" x14ac:dyDescent="0.3">
      <c r="B40" s="7" t="s">
        <v>205</v>
      </c>
      <c r="C40" s="3" t="s">
        <v>206</v>
      </c>
      <c r="D40" s="4" t="s">
        <v>207</v>
      </c>
    </row>
    <row r="41" spans="2:4" ht="15" customHeight="1" x14ac:dyDescent="0.3">
      <c r="C41" s="3" t="s">
        <v>208</v>
      </c>
      <c r="D41" s="4" t="s">
        <v>209</v>
      </c>
    </row>
    <row r="42" spans="2:4" ht="15" customHeight="1" x14ac:dyDescent="0.3">
      <c r="C42" s="3" t="s">
        <v>210</v>
      </c>
      <c r="D42" s="4" t="s">
        <v>211</v>
      </c>
    </row>
    <row r="43" spans="2:4" ht="15" customHeight="1" x14ac:dyDescent="0.3">
      <c r="C43" s="3" t="s">
        <v>212</v>
      </c>
      <c r="D43" s="4" t="s">
        <v>213</v>
      </c>
    </row>
    <row r="45" spans="2:4" ht="15" customHeight="1" x14ac:dyDescent="0.3">
      <c r="B45" s="7" t="s">
        <v>214</v>
      </c>
      <c r="C45" s="3" t="s">
        <v>215</v>
      </c>
      <c r="D45" s="4" t="s">
        <v>216</v>
      </c>
    </row>
    <row r="47" spans="2:4" ht="15" customHeight="1" x14ac:dyDescent="0.3">
      <c r="B47" s="7" t="s">
        <v>217</v>
      </c>
      <c r="C47" s="3" t="s">
        <v>218</v>
      </c>
      <c r="D47" s="4" t="s">
        <v>219</v>
      </c>
    </row>
    <row r="48" spans="2:4" ht="15" customHeight="1" x14ac:dyDescent="0.3">
      <c r="C48" s="3" t="s">
        <v>220</v>
      </c>
      <c r="D48" s="4" t="s">
        <v>221</v>
      </c>
    </row>
    <row r="49" spans="3:4" ht="15" customHeight="1" x14ac:dyDescent="0.3">
      <c r="C49" s="3" t="s">
        <v>222</v>
      </c>
      <c r="D49" s="4" t="s">
        <v>223</v>
      </c>
    </row>
  </sheetData>
  <autoFilter ref="B15:D49" xr:uid="{00000000-0009-0000-0000-000007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RowHeight="14.4" x14ac:dyDescent="0.3"/>
  <cols>
    <col min="1" max="10" width="28" customWidth="1"/>
  </cols>
  <sheetData>
    <row r="1" spans="1:10" x14ac:dyDescent="0.3">
      <c r="A1" s="26" t="s">
        <v>224</v>
      </c>
      <c r="B1" s="26" t="s">
        <v>225</v>
      </c>
      <c r="C1" s="26" t="s">
        <v>108</v>
      </c>
      <c r="D1" s="26" t="s">
        <v>17</v>
      </c>
      <c r="E1" s="26" t="s">
        <v>22</v>
      </c>
      <c r="F1" s="26" t="s">
        <v>226</v>
      </c>
      <c r="G1" s="26" t="s">
        <v>227</v>
      </c>
      <c r="H1" s="26" t="s">
        <v>228</v>
      </c>
      <c r="I1" s="26" t="s">
        <v>229</v>
      </c>
      <c r="J1" s="26" t="s">
        <v>23</v>
      </c>
    </row>
    <row r="2" spans="1:10" x14ac:dyDescent="0.3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>
        <v>359019</v>
      </c>
      <c r="G2">
        <v>450000</v>
      </c>
      <c r="H2">
        <f>G2-F2</f>
        <v>90981</v>
      </c>
      <c r="I2">
        <f>H2/G2</f>
        <v>0.20218</v>
      </c>
      <c r="J2" t="s">
        <v>235</v>
      </c>
    </row>
    <row r="3" spans="1:10" x14ac:dyDescent="0.3">
      <c r="A3" t="s">
        <v>230</v>
      </c>
      <c r="B3" t="s">
        <v>231</v>
      </c>
      <c r="C3" t="s">
        <v>236</v>
      </c>
      <c r="D3" t="s">
        <v>237</v>
      </c>
      <c r="E3" t="s">
        <v>238</v>
      </c>
      <c r="F3">
        <v>285000</v>
      </c>
      <c r="G3">
        <v>360000</v>
      </c>
      <c r="H3">
        <f>G3-F3</f>
        <v>75000</v>
      </c>
      <c r="I3">
        <f>H3/G3</f>
        <v>0.20833333333333334</v>
      </c>
      <c r="J3" t="s">
        <v>239</v>
      </c>
    </row>
    <row r="4" spans="1:10" x14ac:dyDescent="0.3">
      <c r="A4" t="s">
        <v>230</v>
      </c>
      <c r="B4" t="s">
        <v>231</v>
      </c>
      <c r="C4" t="s">
        <v>240</v>
      </c>
      <c r="D4" t="s">
        <v>241</v>
      </c>
      <c r="E4" t="s">
        <v>242</v>
      </c>
      <c r="F4">
        <v>175000</v>
      </c>
      <c r="G4">
        <v>230000</v>
      </c>
      <c r="H4">
        <f>G4-F4</f>
        <v>55000</v>
      </c>
      <c r="I4">
        <f>H4/G4</f>
        <v>0.2391304347826087</v>
      </c>
      <c r="J4" t="s">
        <v>243</v>
      </c>
    </row>
    <row r="5" spans="1:10" x14ac:dyDescent="0.3">
      <c r="A5" t="s">
        <v>230</v>
      </c>
      <c r="B5" t="s">
        <v>231</v>
      </c>
      <c r="C5" t="s">
        <v>244</v>
      </c>
      <c r="D5" t="s">
        <v>241</v>
      </c>
      <c r="E5" t="s">
        <v>245</v>
      </c>
      <c r="F5">
        <v>15000</v>
      </c>
      <c r="G5">
        <v>25000</v>
      </c>
      <c r="H5">
        <f>G5-F5</f>
        <v>10000</v>
      </c>
      <c r="I5">
        <f>H5/G5</f>
        <v>0.4</v>
      </c>
      <c r="J5" t="s">
        <v>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2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27" t="s">
        <v>247</v>
      </c>
    </row>
    <row r="3" spans="1:1" x14ac:dyDescent="0.3">
      <c r="A3" t="s">
        <v>248</v>
      </c>
    </row>
    <row r="4" spans="1:1" x14ac:dyDescent="0.3">
      <c r="A4" t="s">
        <v>249</v>
      </c>
    </row>
    <row r="5" spans="1:1" x14ac:dyDescent="0.3">
      <c r="A5" t="s">
        <v>250</v>
      </c>
    </row>
    <row r="6" spans="1:1" x14ac:dyDescent="0.3">
      <c r="A6" t="s">
        <v>251</v>
      </c>
    </row>
    <row r="7" spans="1:1" x14ac:dyDescent="0.3">
      <c r="A7" t="s">
        <v>252</v>
      </c>
    </row>
    <row r="8" spans="1:1" x14ac:dyDescent="0.3">
      <c r="A8" t="s">
        <v>253</v>
      </c>
    </row>
    <row r="9" spans="1:1" x14ac:dyDescent="0.3">
      <c r="A9" t="s">
        <v>254</v>
      </c>
    </row>
    <row r="10" spans="1:1" x14ac:dyDescent="0.3">
      <c r="A10" t="s">
        <v>255</v>
      </c>
    </row>
    <row r="11" spans="1:1" x14ac:dyDescent="0.3">
      <c r="A11" t="s">
        <v>256</v>
      </c>
    </row>
    <row r="12" spans="1:1" x14ac:dyDescent="0.3">
      <c r="A12" t="s">
        <v>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defaultRowHeight="14.4" x14ac:dyDescent="0.3"/>
  <cols>
    <col min="1" max="4" width="28" customWidth="1"/>
  </cols>
  <sheetData>
    <row r="1" spans="1:4" x14ac:dyDescent="0.3">
      <c r="A1" s="26" t="s">
        <v>258</v>
      </c>
      <c r="B1" s="26" t="s">
        <v>259</v>
      </c>
      <c r="C1" s="26" t="s">
        <v>260</v>
      </c>
      <c r="D1" s="26" t="s">
        <v>123</v>
      </c>
    </row>
    <row r="2" spans="1:4" x14ac:dyDescent="0.3">
      <c r="A2" t="s">
        <v>229</v>
      </c>
      <c r="B2" t="s">
        <v>261</v>
      </c>
      <c r="C2" t="s">
        <v>262</v>
      </c>
      <c r="D2" t="s">
        <v>263</v>
      </c>
    </row>
    <row r="3" spans="1:4" x14ac:dyDescent="0.3">
      <c r="A3" t="s">
        <v>264</v>
      </c>
      <c r="B3" t="s">
        <v>265</v>
      </c>
      <c r="C3" t="s">
        <v>266</v>
      </c>
      <c r="D3" t="s">
        <v>267</v>
      </c>
    </row>
    <row r="4" spans="1:4" x14ac:dyDescent="0.3">
      <c r="A4" t="s">
        <v>268</v>
      </c>
      <c r="B4" t="s">
        <v>269</v>
      </c>
      <c r="C4" t="s">
        <v>270</v>
      </c>
      <c r="D4" t="s">
        <v>271</v>
      </c>
    </row>
    <row r="5" spans="1:4" x14ac:dyDescent="0.3">
      <c r="A5" t="s">
        <v>272</v>
      </c>
      <c r="B5" t="s">
        <v>273</v>
      </c>
      <c r="C5" t="s">
        <v>274</v>
      </c>
      <c r="D5" t="s">
        <v>275</v>
      </c>
    </row>
    <row r="6" spans="1:4" x14ac:dyDescent="0.3">
      <c r="A6" t="s">
        <v>276</v>
      </c>
      <c r="B6" t="s">
        <v>277</v>
      </c>
      <c r="C6" t="s">
        <v>278</v>
      </c>
      <c r="D6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Master_Data</vt:lpstr>
      <vt:lpstr>BOM_Costing</vt:lpstr>
      <vt:lpstr>Mfg_Costing  Sub-con</vt:lpstr>
      <vt:lpstr>Man &amp;Machine Costing</vt:lpstr>
      <vt:lpstr>Sheet2</vt:lpstr>
      <vt:lpstr>Missing BOM</vt:lpstr>
      <vt:lpstr>Cost_Summary</vt:lpstr>
      <vt:lpstr>Variance_Analysis</vt:lpstr>
      <vt:lpstr>Savings_Tracker</vt:lpstr>
      <vt:lpstr>T codes</vt:lpstr>
      <vt:lpstr>DTH1500_Management_View</vt:lpstr>
      <vt:lpstr>Costing_Workflow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Balaa Mahindar</cp:lastModifiedBy>
  <dcterms:created xsi:type="dcterms:W3CDTF">2026-05-02T04:04:56Z</dcterms:created>
  <dcterms:modified xsi:type="dcterms:W3CDTF">2026-05-28T06:27:49Z</dcterms:modified>
</cp:coreProperties>
</file>